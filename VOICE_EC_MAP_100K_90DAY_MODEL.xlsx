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Inputs" sheetId="3" state="visible" r:id="rId5"/>
    <sheet name="Plan_13wk" sheetId="4" state="visible" r:id="rId6"/>
    <sheet name="PayStructure" sheetId="5" state="visible" r:id="rId7"/>
    <sheet name="Score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8" authorId="0">
      <text>
        <r>
          <rPr>
            <sz val="10"/>
            <rFont val="Arial"/>
            <family val="2"/>
          </rPr>
          <t xml:space="preserve">With a 4-week installment gap, the second 2-pay/3-pay installment lands 4 weeks after close, and the third lands 8 weeks after.</t>
        </r>
      </text>
    </comment>
  </commentList>
</comments>
</file>

<file path=xl/sharedStrings.xml><?xml version="1.0" encoding="utf-8"?>
<sst xmlns="http://schemas.openxmlformats.org/spreadsheetml/2006/main" count="188" uniqueCount="182">
  <si>
    <t xml:space="preserve">Voice EC Map: $100K in 90 Days Revenue Model</t>
  </si>
  <si>
    <t xml:space="preserve">Purpose: plan and track $100,000 booked revenue in 13 weeks, led by the $10K Midlife Capacity Partnership.</t>
  </si>
  <si>
    <t xml:space="preserve">How to use</t>
  </si>
  <si>
    <t xml:space="preserve">1. Change blue cells on Inputs (prices, payment mix, funnel rates, hours). Yellow cells are key assumptions.</t>
  </si>
  <si>
    <t xml:space="preserve">2. Enter the weekly sales plan in the blue rows at the top of Plan_13wk.</t>
  </si>
  <si>
    <t xml:space="preserve">3. Every Friday, enter actuals in the yellow cells on Scoreboard. Variance and status fill in automatically.</t>
  </si>
  <si>
    <t xml:space="preserve">4. Summary shows booked vs cash, the pipeline you need, and whether founder hours are over capacity.</t>
  </si>
  <si>
    <t xml:space="preserve">Color legend</t>
  </si>
  <si>
    <t xml:space="preserve">Blue text = hardcoded input / scenario lever</t>
  </si>
  <si>
    <t xml:space="preserve">Black text = formula</t>
  </si>
  <si>
    <t xml:space="preserve">Green text = link to another sheet</t>
  </si>
  <si>
    <t xml:space="preserve">Yellow fill = key assumption or a cell you fill in</t>
  </si>
  <si>
    <t xml:space="preserve">Definitions</t>
  </si>
  <si>
    <t xml:space="preserve">Booked revenue = contract value signed in the week (full plan total, net of any Beta/Sprint credit).</t>
  </si>
  <si>
    <t xml:space="preserve">Cash = money actually collected in the week. Installments fall every 4 weeks after enrollment (week of close, +4, +8).</t>
  </si>
  <si>
    <t xml:space="preserve">Assumption sources</t>
  </si>
  <si>
    <t xml:space="preserve">Prices, payment plans, and the 40-hour delivery design come from VOICE_EC_MAP_MIDLIFE_10K_OFFER.md (user-approved offer).</t>
  </si>
  <si>
    <t xml:space="preserve">Funnel rates (25% conversation to application, 60% booked, 80% show, 25% close) are planning assumptions, not sourced benchmarks.</t>
  </si>
  <si>
    <t xml:space="preserve">Replace them with your own actuals after the first 10 fit calls.</t>
  </si>
  <si>
    <t xml:space="preserve">The $3,000 workshop price is a planning assumption for a 60-minute employer or women's-group session. Validate it with the first 3 buyers.</t>
  </si>
  <si>
    <t xml:space="preserve">This model is a planning tool, not a forecast guarantee.</t>
  </si>
  <si>
    <t xml:space="preserve">Summary: $100K in 90 Days</t>
  </si>
  <si>
    <t xml:space="preserve">Revenue</t>
  </si>
  <si>
    <t xml:space="preserve">90-day booked revenue target</t>
  </si>
  <si>
    <t xml:space="preserve">Planned booked revenue (13 weeks)</t>
  </si>
  <si>
    <t xml:space="preserve">Gap vs target (negative = short)</t>
  </si>
  <si>
    <t xml:space="preserve">Plan status</t>
  </si>
  <si>
    <t xml:space="preserve">Planned cash collected (13 weeks)</t>
  </si>
  <si>
    <t xml:space="preserve">Partnership installments still due after week 13</t>
  </si>
  <si>
    <t xml:space="preserve">Share of booked revenue from the Partnership</t>
  </si>
  <si>
    <t xml:space="preserve">Sales volume</t>
  </si>
  <si>
    <t xml:space="preserve">Partnership clients enrolled</t>
  </si>
  <si>
    <t xml:space="preserve">Booked revenue per Partnership client (net)</t>
  </si>
  <si>
    <t xml:space="preserve">Fit calls to hold</t>
  </si>
  <si>
    <t xml:space="preserve">Applications needed</t>
  </si>
  <si>
    <t xml:space="preserve">Conversations needed</t>
  </si>
  <si>
    <t xml:space="preserve">Conversations per week (average)</t>
  </si>
  <si>
    <t xml:space="preserve">Capacity</t>
  </si>
  <si>
    <t xml:space="preserve">Peak weekly founder hours</t>
  </si>
  <si>
    <t xml:space="preserve">Founder hours available per week</t>
  </si>
  <si>
    <t xml:space="preserve">Weeks over capacity</t>
  </si>
  <si>
    <t xml:space="preserve">Capacity status</t>
  </si>
  <si>
    <t xml:space="preserve">Inputs</t>
  </si>
  <si>
    <t xml:space="preserve">Blue = input. Yellow = key assumption. Column C explains each value.</t>
  </si>
  <si>
    <t xml:space="preserve">Pricing ($)</t>
  </si>
  <si>
    <t xml:space="preserve">Partnership price, paid in full</t>
  </si>
  <si>
    <t xml:space="preserve">User-approved list price.</t>
  </si>
  <si>
    <t xml:space="preserve">2-pay installment</t>
  </si>
  <si>
    <t xml:space="preserve">2 payments, 30 days apart = $10,500.</t>
  </si>
  <si>
    <t xml:space="preserve">2-pay number of payments</t>
  </si>
  <si>
    <t xml:space="preserve">Structural: fixed at 2 by the Plan_13wk cash formulas.</t>
  </si>
  <si>
    <t xml:space="preserve">3-pay installment</t>
  </si>
  <si>
    <t xml:space="preserve">3 payments, 30 days apart = $10,800.</t>
  </si>
  <si>
    <t xml:space="preserve">3-pay number of payments</t>
  </si>
  <si>
    <t xml:space="preserve">Structural: fixed at 3 by the Plan_13wk cash formulas.</t>
  </si>
  <si>
    <t xml:space="preserve">Weeks between installments</t>
  </si>
  <si>
    <t xml:space="preserve">About 30 days.</t>
  </si>
  <si>
    <t xml:space="preserve">30-Day Beta price</t>
  </si>
  <si>
    <t xml:space="preserve">Existing ladder (VOICE_EC_MAP_MARKETING_CAMPAIGN.md).</t>
  </si>
  <si>
    <t xml:space="preserve">Clarity Sprint price</t>
  </si>
  <si>
    <t xml:space="preserve">Existing ladder.</t>
  </si>
  <si>
    <t xml:space="preserve">Workshop price (employer/ERG/women's group)</t>
  </si>
  <si>
    <t xml:space="preserve">Planning assumption; validate with the first 3 buyers.</t>
  </si>
  <si>
    <t xml:space="preserve">Partner pilot setup</t>
  </si>
  <si>
    <t xml:space="preserve">Existing ladder; the per-client fee is not modeled.</t>
  </si>
  <si>
    <t xml:space="preserve">Partnership payment mix</t>
  </si>
  <si>
    <t xml:space="preserve">Share paying in full</t>
  </si>
  <si>
    <t xml:space="preserve">Offer a paid-in-full bonus to push this up.</t>
  </si>
  <si>
    <t xml:space="preserve">Share on 2-pay</t>
  </si>
  <si>
    <t xml:space="preserve">Share on 3-pay</t>
  </si>
  <si>
    <t xml:space="preserve">Remainder of 100%.</t>
  </si>
  <si>
    <t xml:space="preserve">Front-end credits</t>
  </si>
  <si>
    <t xml:space="preserve">Share of Partnership clients credited a Beta/Sprint fee</t>
  </si>
  <si>
    <t xml:space="preserve">Set to 0: the plan is $10K 1:1 enrollments only, with no front-end offers.</t>
  </si>
  <si>
    <t xml:space="preserve">Average credit per credited client</t>
  </si>
  <si>
    <t xml:space="preserve">Mostly Beta ($500) upgrades.</t>
  </si>
  <si>
    <t xml:space="preserve">Sales funnel</t>
  </si>
  <si>
    <t xml:space="preserve">Conversation -&gt; application</t>
  </si>
  <si>
    <t xml:space="preserve">Planning assumption. Starting from zero audience, expect this to run lower in weeks 1-4; replace it with actuals from the Ten Seats board.</t>
  </si>
  <si>
    <t xml:space="preserve">Application -&gt; fit call booked</t>
  </si>
  <si>
    <t xml:space="preserve">Planning assumption; some applicants are routed to the Beta.</t>
  </si>
  <si>
    <t xml:space="preserve">Fit call show rate</t>
  </si>
  <si>
    <t xml:space="preserve">Planning assumption; reminders at 24h and 1h.</t>
  </si>
  <si>
    <t xml:space="preserve">Close rate on held fit calls</t>
  </si>
  <si>
    <t xml:space="preserve">Planning assumption; replace with actuals after 10 calls.</t>
  </si>
  <si>
    <t xml:space="preserve">Delivery and founder hours (per week)</t>
  </si>
  <si>
    <t xml:space="preserve">Weekly 1:1 session length (hrs)</t>
  </si>
  <si>
    <t xml:space="preserve">45-minute weekly session in the 90-day Intensive phase.</t>
  </si>
  <si>
    <t xml:space="preserve">Prep + notes per session (hrs)</t>
  </si>
  <si>
    <t xml:space="preserve">Daily check-ins reviewed per client per week</t>
  </si>
  <si>
    <t xml:space="preserve">Weekday accountability check-ins.</t>
  </si>
  <si>
    <t xml:space="preserve">Minutes to review and reply per check-in</t>
  </si>
  <si>
    <t xml:space="preserve">Uses the reply templates.</t>
  </si>
  <si>
    <t xml:space="preserve">Intensive hours per client per week</t>
  </si>
  <si>
    <t xml:space="preserve">Calculated.</t>
  </si>
  <si>
    <t xml:space="preserve">Group accountability hour (total hrs/week)</t>
  </si>
  <si>
    <t xml:space="preserve">One weekly group planning call covering all clients.</t>
  </si>
  <si>
    <t xml:space="preserve">Beta delivery hours each</t>
  </si>
  <si>
    <t xml:space="preserve">From the existing unit economics.</t>
  </si>
  <si>
    <t xml:space="preserve">Sprint delivery hours each</t>
  </si>
  <si>
    <t xml:space="preserve">Workshop hours each (prep + delivery)</t>
  </si>
  <si>
    <t xml:space="preserve">Planning assumption.</t>
  </si>
  <si>
    <t xml:space="preserve">Onboarding hours per new client (Map session + report)</t>
  </si>
  <si>
    <t xml:space="preserve">Falls in the week of close.</t>
  </si>
  <si>
    <t xml:space="preserve">Sales &amp; marketing hours per week</t>
  </si>
  <si>
    <t xml:space="preserve">Outreach, content, fit calls.</t>
  </si>
  <si>
    <t xml:space="preserve">Set this to your real non-clinical hours.</t>
  </si>
  <si>
    <t xml:space="preserve">Target</t>
  </si>
  <si>
    <t xml:space="preserve">Goal set by the user.</t>
  </si>
  <si>
    <t xml:space="preserve">13-Week Plan: booked revenue, cash, pipeline, and founder hours</t>
  </si>
  <si>
    <t xml:space="preserve">Blue rows are the weekly sales plan: $10K 1:1 enrollments only, starting from zero (weeks 1-3 build the list, then 1 enrollment a week). Everything else is calculated.</t>
  </si>
  <si>
    <t xml:space="preserve">Week</t>
  </si>
  <si>
    <t xml:space="preserve">Total</t>
  </si>
  <si>
    <t xml:space="preserve">Sales plan (inputs)</t>
  </si>
  <si>
    <t xml:space="preserve">Partnership closes (#)</t>
  </si>
  <si>
    <t xml:space="preserve">30-Day Beta sales (#)</t>
  </si>
  <si>
    <t xml:space="preserve">Clarity Sprint sales (#)</t>
  </si>
  <si>
    <t xml:space="preserve">Workshops (#)</t>
  </si>
  <si>
    <t xml:space="preserve">Partner pilots (#)</t>
  </si>
  <si>
    <t xml:space="preserve">Booked revenue ($)</t>
  </si>
  <si>
    <t xml:space="preserve">Partnership booked (net of credits)</t>
  </si>
  <si>
    <t xml:space="preserve">Front-end booked (Beta, Sprint, Workshop, Pilot)</t>
  </si>
  <si>
    <t xml:space="preserve">Total booked</t>
  </si>
  <si>
    <t xml:space="preserve">Cumulative booked</t>
  </si>
  <si>
    <t xml:space="preserve">Cash collected ($)</t>
  </si>
  <si>
    <t xml:space="preserve">Partnership closes 1 installment ago (#)</t>
  </si>
  <si>
    <t xml:space="preserve">Partnership closes 2 installments ago (#)</t>
  </si>
  <si>
    <t xml:space="preserve">Partnership cash</t>
  </si>
  <si>
    <t xml:space="preserve">Front-end cash (paid upfront)</t>
  </si>
  <si>
    <t xml:space="preserve">Total cash</t>
  </si>
  <si>
    <t xml:space="preserve">Cumulative cash</t>
  </si>
  <si>
    <t xml:space="preserve">Pipeline needed to hit the Partnership plan (work these 1-2 weeks ahead)</t>
  </si>
  <si>
    <t xml:space="preserve">Fit calls held</t>
  </si>
  <si>
    <t xml:space="preserve">Fit calls booked</t>
  </si>
  <si>
    <t xml:space="preserve">Applications</t>
  </si>
  <si>
    <t xml:space="preserve">Conversations</t>
  </si>
  <si>
    <t xml:space="preserve">Founder hours per week (column B = peak week)</t>
  </si>
  <si>
    <t xml:space="preserve">Active Partnership clients (#)</t>
  </si>
  <si>
    <t xml:space="preserve">Partnership delivery hrs</t>
  </si>
  <si>
    <t xml:space="preserve">Front-end delivery hrs</t>
  </si>
  <si>
    <t xml:space="preserve">Sales &amp; marketing hrs</t>
  </si>
  <si>
    <t xml:space="preserve">Total founder hrs</t>
  </si>
  <si>
    <t xml:space="preserve">Hours available</t>
  </si>
  <si>
    <t xml:space="preserve">Over / (under) capacity</t>
  </si>
  <si>
    <t xml:space="preserve">Pay Structure</t>
  </si>
  <si>
    <t xml:space="preserve">Cash timing assumes the first payment at enrollment and later installments every 30 days.</t>
  </si>
  <si>
    <t xml:space="preserve">Plan</t>
  </si>
  <si>
    <t xml:space="preserve">Installment ($)</t>
  </si>
  <si>
    <t xml:space="preserve"># Payments</t>
  </si>
  <si>
    <t xml:space="preserve">Total paid ($)</t>
  </si>
  <si>
    <t xml:space="preserve">Premium vs PIF ($)</t>
  </si>
  <si>
    <t xml:space="preserve">Cash in first 30 days ($)</t>
  </si>
  <si>
    <t xml:space="preserve">Cash in first 60 days ($)</t>
  </si>
  <si>
    <t xml:space="preserve">Cash in first 90 days ($)</t>
  </si>
  <si>
    <t xml:space="preserve">Partnership, paid in full</t>
  </si>
  <si>
    <t xml:space="preserve">Partnership, 2-pay</t>
  </si>
  <si>
    <t xml:space="preserve">Partnership, 3-pay</t>
  </si>
  <si>
    <t xml:space="preserve">30-Day Beta</t>
  </si>
  <si>
    <t xml:space="preserve">Clarity Sprint</t>
  </si>
  <si>
    <t xml:space="preserve">Workshop</t>
  </si>
  <si>
    <t xml:space="preserve">Pay structure rules</t>
  </si>
  <si>
    <t xml:space="preserve">Paid-in-full bonus (no discount): a 30-day Integration extension plus a quarterly check-in in the following 6 months. It speeds up cash without lowering the price.</t>
  </si>
  <si>
    <t xml:space="preserve">Payment plans cost more ($500 / $800) because they carry collection risk and delay cash.</t>
  </si>
  <si>
    <t xml:space="preserve">Beta/Sprint fees are credited toward the Partnership if she enrolls within 30 days.</t>
  </si>
  <si>
    <t xml:space="preserve">Refunds: full refund within 7 days of payment if the Map session hasn't happened. After that the fee is non-refundable, and a plan is a commitment to the full amount (see the coaching agreement).</t>
  </si>
  <si>
    <t xml:space="preserve">Collect by auto-charge (Stripe subscription schedule or Stripe Invoicing). Never collect installments manually.</t>
  </si>
  <si>
    <t xml:space="preserve">Weekly Accountability Scoreboard: fill in the yellow cells every Friday</t>
  </si>
  <si>
    <t xml:space="preserve">Rule: if actual conversations run below target 2 weeks in a row, fix outreach volume before changing the offer.</t>
  </si>
  <si>
    <t xml:space="preserve">Conversations target</t>
  </si>
  <si>
    <t xml:space="preserve">Conversations actual</t>
  </si>
  <si>
    <t xml:space="preserve">Applications target</t>
  </si>
  <si>
    <t xml:space="preserve">Applications actual</t>
  </si>
  <si>
    <t xml:space="preserve">Fit calls target</t>
  </si>
  <si>
    <t xml:space="preserve">Fit calls actual</t>
  </si>
  <si>
    <t xml:space="preserve">Closes target</t>
  </si>
  <si>
    <t xml:space="preserve">Closes actual</t>
  </si>
  <si>
    <t xml:space="preserve">Cash target ($)</t>
  </si>
  <si>
    <t xml:space="preserve">Cash actual ($)</t>
  </si>
  <si>
    <t xml:space="preserve">Cash variance ($)</t>
  </si>
  <si>
    <t xml:space="preserve">Status</t>
  </si>
  <si>
    <t xml:space="preserve">Example</t>
  </si>
  <si>
    <t xml:space="preserve">(format only: this row is not counted)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</si>
</sst>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#,##0.0;\(#,##0.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i val="true"/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FE9"/>
        <bgColor rgb="FFFFFFFF"/>
      </patternFill>
    </fill>
    <fill>
      <patternFill patternType="solid">
        <fgColor rgb="FF1E4D3B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F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4D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4" t="s">
        <v>7</v>
      </c>
    </row>
    <row r="12" customFormat="false" ht="15" hidden="false" customHeight="true" outlineLevel="0" collapsed="false">
      <c r="A12" s="5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6" t="s">
        <v>10</v>
      </c>
    </row>
    <row r="15" customFormat="false" ht="15" hidden="false" customHeight="true" outlineLevel="0" collapsed="false">
      <c r="A15" s="7" t="s">
        <v>11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4" t="s">
        <v>15</v>
      </c>
    </row>
    <row r="22" customFormat="false" ht="15" hidden="false" customHeight="true" outlineLevel="0" collapsed="false">
      <c r="A22" s="3" t="s">
        <v>16</v>
      </c>
    </row>
    <row r="23" customFormat="false" ht="15" hidden="false" customHeight="true" outlineLevel="0" collapsed="false">
      <c r="A23" s="3" t="s">
        <v>17</v>
      </c>
    </row>
    <row r="24" customFormat="false" ht="15" hidden="false" customHeight="true" outlineLevel="0" collapsed="false">
      <c r="A24" s="3" t="s">
        <v>18</v>
      </c>
    </row>
    <row r="25" customFormat="false" ht="15" hidden="false" customHeight="true" outlineLevel="0" collapsed="false">
      <c r="A25" s="3" t="s">
        <v>19</v>
      </c>
    </row>
    <row r="26" customFormat="false" ht="15" hidden="false" customHeight="true" outlineLevel="0" collapsed="false">
      <c r="A26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58"/>
  </cols>
  <sheetData>
    <row r="1" customFormat="false" ht="17.25" hidden="false" customHeight="true" outlineLevel="0" collapsed="false">
      <c r="A1" s="2" t="s">
        <v>21</v>
      </c>
      <c r="B1" s="8"/>
    </row>
    <row r="2" customFormat="false" ht="15" hidden="false" customHeight="true" outlineLevel="0" collapsed="false">
      <c r="A2" s="9" t="s">
        <v>22</v>
      </c>
      <c r="B2" s="10"/>
    </row>
    <row r="3" customFormat="false" ht="15" hidden="false" customHeight="true" outlineLevel="0" collapsed="false">
      <c r="A3" s="3" t="s">
        <v>23</v>
      </c>
      <c r="B3" s="11" t="n">
        <f aca="false">Inputs!B45</f>
        <v>100000</v>
      </c>
    </row>
    <row r="4" customFormat="false" ht="15" hidden="false" customHeight="true" outlineLevel="0" collapsed="false">
      <c r="A4" s="3" t="s">
        <v>24</v>
      </c>
      <c r="B4" s="11" t="n">
        <f aca="false">Plan_13wk!B14</f>
        <v>103250</v>
      </c>
    </row>
    <row r="5" customFormat="false" ht="15" hidden="false" customHeight="true" outlineLevel="0" collapsed="false">
      <c r="A5" s="3" t="s">
        <v>25</v>
      </c>
      <c r="B5" s="12" t="n">
        <f aca="false">B4-B3</f>
        <v>3250</v>
      </c>
    </row>
    <row r="6" customFormat="false" ht="15" hidden="false" customHeight="true" outlineLevel="0" collapsed="false">
      <c r="A6" s="3" t="s">
        <v>26</v>
      </c>
      <c r="B6" s="3" t="str">
        <f aca="false">IF(B4&gt;=B3,"Plan meets target","Plan short of target")</f>
        <v>Plan meets target</v>
      </c>
    </row>
    <row r="7" customFormat="false" ht="15" hidden="false" customHeight="true" outlineLevel="0" collapsed="false">
      <c r="A7" s="3" t="s">
        <v>27</v>
      </c>
      <c r="B7" s="11" t="n">
        <f aca="false">Plan_13wk!B22</f>
        <v>87200</v>
      </c>
    </row>
    <row r="8" customFormat="false" ht="15" hidden="false" customHeight="true" outlineLevel="0" collapsed="false">
      <c r="A8" s="3" t="s">
        <v>28</v>
      </c>
      <c r="B8" s="11" t="n">
        <f aca="false">Plan_13wk!B12-Plan_13wk!B20</f>
        <v>16050</v>
      </c>
    </row>
    <row r="9" customFormat="false" ht="15" hidden="false" customHeight="true" outlineLevel="0" collapsed="false">
      <c r="A9" s="3" t="s">
        <v>29</v>
      </c>
      <c r="B9" s="13" t="n">
        <f aca="false">IFERROR(Plan_13wk!B12/Plan_13wk!B14,0)</f>
        <v>1</v>
      </c>
    </row>
    <row r="10" customFormat="false" ht="15" hidden="false" customHeight="true" outlineLevel="0" collapsed="false">
      <c r="A10" s="3"/>
      <c r="B10" s="8"/>
    </row>
    <row r="11" customFormat="false" ht="15" hidden="false" customHeight="true" outlineLevel="0" collapsed="false">
      <c r="A11" s="9" t="s">
        <v>30</v>
      </c>
      <c r="B11" s="10"/>
    </row>
    <row r="12" customFormat="false" ht="15" hidden="false" customHeight="true" outlineLevel="0" collapsed="false">
      <c r="A12" s="3" t="s">
        <v>31</v>
      </c>
      <c r="B12" s="14" t="n">
        <f aca="false">Plan_13wk!B5</f>
        <v>10</v>
      </c>
    </row>
    <row r="13" customFormat="false" ht="15" hidden="false" customHeight="true" outlineLevel="0" collapsed="false">
      <c r="A13" s="3" t="s">
        <v>32</v>
      </c>
      <c r="B13" s="12" t="n">
        <f aca="false">IFERROR(Plan_13wk!B12/Plan_13wk!B5,0)</f>
        <v>10325</v>
      </c>
    </row>
    <row r="14" customFormat="false" ht="15" hidden="false" customHeight="true" outlineLevel="0" collapsed="false">
      <c r="A14" s="3" t="s">
        <v>33</v>
      </c>
      <c r="B14" s="15" t="n">
        <f aca="false">Plan_13wk!B26</f>
        <v>40</v>
      </c>
    </row>
    <row r="15" customFormat="false" ht="15" hidden="false" customHeight="true" outlineLevel="0" collapsed="false">
      <c r="A15" s="3" t="s">
        <v>34</v>
      </c>
      <c r="B15" s="15" t="n">
        <f aca="false">Plan_13wk!B28</f>
        <v>83.3333333333333</v>
      </c>
    </row>
    <row r="16" customFormat="false" ht="15" hidden="false" customHeight="true" outlineLevel="0" collapsed="false">
      <c r="A16" s="3" t="s">
        <v>35</v>
      </c>
      <c r="B16" s="15" t="n">
        <f aca="false">Plan_13wk!B29</f>
        <v>333.333333333333</v>
      </c>
    </row>
    <row r="17" customFormat="false" ht="15" hidden="false" customHeight="true" outlineLevel="0" collapsed="false">
      <c r="A17" s="3" t="s">
        <v>36</v>
      </c>
      <c r="B17" s="16" t="n">
        <f aca="false">B16/13</f>
        <v>25.6410256410256</v>
      </c>
    </row>
    <row r="18" customFormat="false" ht="15" hidden="false" customHeight="true" outlineLevel="0" collapsed="false">
      <c r="A18" s="3"/>
      <c r="B18" s="8"/>
    </row>
    <row r="19" customFormat="false" ht="15" hidden="false" customHeight="true" outlineLevel="0" collapsed="false">
      <c r="A19" s="9" t="s">
        <v>37</v>
      </c>
      <c r="B19" s="10"/>
    </row>
    <row r="20" customFormat="false" ht="15" hidden="false" customHeight="true" outlineLevel="0" collapsed="false">
      <c r="A20" s="3" t="s">
        <v>38</v>
      </c>
      <c r="B20" s="15" t="n">
        <f aca="false">Plan_13wk!B36</f>
        <v>35.3333333333333</v>
      </c>
    </row>
    <row r="21" customFormat="false" ht="15" hidden="false" customHeight="true" outlineLevel="0" collapsed="false">
      <c r="A21" s="3" t="s">
        <v>39</v>
      </c>
      <c r="B21" s="15" t="n">
        <f aca="false">Inputs!B42</f>
        <v>30</v>
      </c>
    </row>
    <row r="22" customFormat="false" ht="15" hidden="false" customHeight="true" outlineLevel="0" collapsed="false">
      <c r="A22" s="3" t="s">
        <v>40</v>
      </c>
      <c r="B22" s="17" t="n">
        <f aca="false">COUNTIF(Plan_13wk!C38:O38,"&gt;0")</f>
        <v>4</v>
      </c>
    </row>
    <row r="23" customFormat="false" ht="15" hidden="false" customHeight="true" outlineLevel="0" collapsed="false">
      <c r="A23" s="3" t="s">
        <v>41</v>
      </c>
      <c r="B23" s="3" t="str">
        <f aca="false">IF(B22&gt;0,"Over capacity: delegate check-in review or cap enrollments","Within capacity")</f>
        <v>Over capacity: delegate check-in review or cap enrollments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4"/>
    <col collapsed="false" customWidth="true" hidden="false" outlineLevel="0" max="3" min="3" style="1" width="78"/>
  </cols>
  <sheetData>
    <row r="1" customFormat="false" ht="17.25" hidden="false" customHeight="true" outlineLevel="0" collapsed="false">
      <c r="A1" s="2" t="s">
        <v>42</v>
      </c>
      <c r="B1" s="8"/>
      <c r="C1" s="8"/>
    </row>
    <row r="2" customFormat="false" ht="15" hidden="false" customHeight="true" outlineLevel="0" collapsed="false">
      <c r="A2" s="3" t="s">
        <v>43</v>
      </c>
      <c r="B2" s="8"/>
      <c r="C2" s="8"/>
    </row>
    <row r="3" customFormat="false" ht="15" hidden="false" customHeight="true" outlineLevel="0" collapsed="false">
      <c r="A3" s="9" t="s">
        <v>44</v>
      </c>
      <c r="B3" s="10"/>
      <c r="C3" s="10"/>
    </row>
    <row r="4" customFormat="false" ht="15" hidden="false" customHeight="true" outlineLevel="0" collapsed="false">
      <c r="A4" s="3" t="s">
        <v>45</v>
      </c>
      <c r="B4" s="18" t="n">
        <v>10000</v>
      </c>
      <c r="C4" s="3" t="s">
        <v>46</v>
      </c>
    </row>
    <row r="5" customFormat="false" ht="15" hidden="false" customHeight="true" outlineLevel="0" collapsed="false">
      <c r="A5" s="3" t="s">
        <v>47</v>
      </c>
      <c r="B5" s="19" t="n">
        <v>5250</v>
      </c>
      <c r="C5" s="3" t="s">
        <v>48</v>
      </c>
    </row>
    <row r="6" customFormat="false" ht="15" hidden="false" customHeight="true" outlineLevel="0" collapsed="false">
      <c r="A6" s="3" t="s">
        <v>49</v>
      </c>
      <c r="B6" s="17" t="n">
        <v>2</v>
      </c>
      <c r="C6" s="3" t="s">
        <v>50</v>
      </c>
    </row>
    <row r="7" customFormat="false" ht="15" hidden="false" customHeight="true" outlineLevel="0" collapsed="false">
      <c r="A7" s="3" t="s">
        <v>51</v>
      </c>
      <c r="B7" s="19" t="n">
        <v>3600</v>
      </c>
      <c r="C7" s="3" t="s">
        <v>52</v>
      </c>
    </row>
    <row r="8" customFormat="false" ht="15" hidden="false" customHeight="true" outlineLevel="0" collapsed="false">
      <c r="A8" s="3" t="s">
        <v>53</v>
      </c>
      <c r="B8" s="17" t="n">
        <v>3</v>
      </c>
      <c r="C8" s="3" t="s">
        <v>54</v>
      </c>
    </row>
    <row r="9" customFormat="false" ht="15" hidden="false" customHeight="true" outlineLevel="0" collapsed="false">
      <c r="A9" s="3" t="s">
        <v>55</v>
      </c>
      <c r="B9" s="20" t="n">
        <v>4</v>
      </c>
      <c r="C9" s="3" t="s">
        <v>56</v>
      </c>
    </row>
    <row r="10" customFormat="false" ht="15" hidden="false" customHeight="true" outlineLevel="0" collapsed="false">
      <c r="A10" s="3" t="s">
        <v>57</v>
      </c>
      <c r="B10" s="19" t="n">
        <v>500</v>
      </c>
      <c r="C10" s="3" t="s">
        <v>58</v>
      </c>
    </row>
    <row r="11" customFormat="false" ht="15" hidden="false" customHeight="true" outlineLevel="0" collapsed="false">
      <c r="A11" s="3" t="s">
        <v>59</v>
      </c>
      <c r="B11" s="19" t="n">
        <v>1000</v>
      </c>
      <c r="C11" s="3" t="s">
        <v>60</v>
      </c>
    </row>
    <row r="12" customFormat="false" ht="15" hidden="false" customHeight="true" outlineLevel="0" collapsed="false">
      <c r="A12" s="3" t="s">
        <v>61</v>
      </c>
      <c r="B12" s="18" t="n">
        <v>3000</v>
      </c>
      <c r="C12" s="3" t="s">
        <v>62</v>
      </c>
    </row>
    <row r="13" customFormat="false" ht="15" hidden="false" customHeight="true" outlineLevel="0" collapsed="false">
      <c r="A13" s="3" t="s">
        <v>63</v>
      </c>
      <c r="B13" s="19" t="n">
        <v>1500</v>
      </c>
      <c r="C13" s="3" t="s">
        <v>64</v>
      </c>
    </row>
    <row r="14" customFormat="false" ht="15" hidden="false" customHeight="true" outlineLevel="0" collapsed="false">
      <c r="A14" s="8"/>
      <c r="B14" s="8"/>
      <c r="C14" s="8"/>
    </row>
    <row r="15" customFormat="false" ht="15" hidden="false" customHeight="true" outlineLevel="0" collapsed="false">
      <c r="A15" s="9" t="s">
        <v>65</v>
      </c>
      <c r="B15" s="10"/>
      <c r="C15" s="10"/>
    </row>
    <row r="16" customFormat="false" ht="15" hidden="false" customHeight="true" outlineLevel="0" collapsed="false">
      <c r="A16" s="3" t="s">
        <v>66</v>
      </c>
      <c r="B16" s="21" t="n">
        <v>0.5</v>
      </c>
      <c r="C16" s="3" t="s">
        <v>67</v>
      </c>
    </row>
    <row r="17" customFormat="false" ht="15" hidden="false" customHeight="true" outlineLevel="0" collapsed="false">
      <c r="A17" s="3" t="s">
        <v>68</v>
      </c>
      <c r="B17" s="22" t="n">
        <v>0.25</v>
      </c>
      <c r="C17" s="3"/>
    </row>
    <row r="18" customFormat="false" ht="15" hidden="false" customHeight="true" outlineLevel="0" collapsed="false">
      <c r="A18" s="3" t="s">
        <v>69</v>
      </c>
      <c r="B18" s="13" t="n">
        <f aca="false">1-B16-B17</f>
        <v>0.25</v>
      </c>
      <c r="C18" s="3" t="s">
        <v>70</v>
      </c>
    </row>
    <row r="19" customFormat="false" ht="15" hidden="false" customHeight="true" outlineLevel="0" collapsed="false">
      <c r="A19" s="8"/>
      <c r="B19" s="8"/>
      <c r="C19" s="8"/>
    </row>
    <row r="20" customFormat="false" ht="15" hidden="false" customHeight="true" outlineLevel="0" collapsed="false">
      <c r="A20" s="9" t="s">
        <v>71</v>
      </c>
      <c r="B20" s="10"/>
      <c r="C20" s="10"/>
    </row>
    <row r="21" customFormat="false" ht="15" hidden="false" customHeight="true" outlineLevel="0" collapsed="false">
      <c r="A21" s="3" t="s">
        <v>72</v>
      </c>
      <c r="B21" s="22" t="n">
        <v>0</v>
      </c>
      <c r="C21" s="3" t="s">
        <v>73</v>
      </c>
    </row>
    <row r="22" customFormat="false" ht="15" hidden="false" customHeight="true" outlineLevel="0" collapsed="false">
      <c r="A22" s="3" t="s">
        <v>74</v>
      </c>
      <c r="B22" s="19" t="n">
        <v>500</v>
      </c>
      <c r="C22" s="3" t="s">
        <v>75</v>
      </c>
    </row>
    <row r="23" customFormat="false" ht="15" hidden="false" customHeight="true" outlineLevel="0" collapsed="false">
      <c r="A23" s="8"/>
      <c r="B23" s="8"/>
      <c r="C23" s="8"/>
    </row>
    <row r="24" customFormat="false" ht="15" hidden="false" customHeight="true" outlineLevel="0" collapsed="false">
      <c r="A24" s="9" t="s">
        <v>76</v>
      </c>
      <c r="B24" s="10"/>
      <c r="C24" s="10"/>
    </row>
    <row r="25" customFormat="false" ht="15" hidden="false" customHeight="true" outlineLevel="0" collapsed="false">
      <c r="A25" s="3" t="s">
        <v>77</v>
      </c>
      <c r="B25" s="21" t="n">
        <v>0.25</v>
      </c>
      <c r="C25" s="3" t="s">
        <v>78</v>
      </c>
    </row>
    <row r="26" customFormat="false" ht="15" hidden="false" customHeight="true" outlineLevel="0" collapsed="false">
      <c r="A26" s="3" t="s">
        <v>79</v>
      </c>
      <c r="B26" s="21" t="n">
        <v>0.6</v>
      </c>
      <c r="C26" s="3" t="s">
        <v>80</v>
      </c>
    </row>
    <row r="27" customFormat="false" ht="15" hidden="false" customHeight="true" outlineLevel="0" collapsed="false">
      <c r="A27" s="3" t="s">
        <v>81</v>
      </c>
      <c r="B27" s="22" t="n">
        <v>0.8</v>
      </c>
      <c r="C27" s="3" t="s">
        <v>82</v>
      </c>
    </row>
    <row r="28" customFormat="false" ht="15" hidden="false" customHeight="true" outlineLevel="0" collapsed="false">
      <c r="A28" s="3" t="s">
        <v>83</v>
      </c>
      <c r="B28" s="21" t="n">
        <v>0.25</v>
      </c>
      <c r="C28" s="3" t="s">
        <v>84</v>
      </c>
    </row>
    <row r="29" customFormat="false" ht="15" hidden="false" customHeight="true" outlineLevel="0" collapsed="false">
      <c r="A29" s="8"/>
      <c r="B29" s="8"/>
      <c r="C29" s="8"/>
    </row>
    <row r="30" customFormat="false" ht="15" hidden="false" customHeight="true" outlineLevel="0" collapsed="false">
      <c r="A30" s="9" t="s">
        <v>85</v>
      </c>
      <c r="B30" s="10"/>
      <c r="C30" s="10"/>
    </row>
    <row r="31" customFormat="false" ht="15" hidden="false" customHeight="true" outlineLevel="0" collapsed="false">
      <c r="A31" s="3" t="s">
        <v>86</v>
      </c>
      <c r="B31" s="23" t="n">
        <v>0.75</v>
      </c>
      <c r="C31" s="3" t="s">
        <v>87</v>
      </c>
    </row>
    <row r="32" customFormat="false" ht="15" hidden="false" customHeight="true" outlineLevel="0" collapsed="false">
      <c r="A32" s="3" t="s">
        <v>88</v>
      </c>
      <c r="B32" s="23" t="n">
        <v>0.25</v>
      </c>
      <c r="C32" s="3"/>
    </row>
    <row r="33" customFormat="false" ht="15" hidden="false" customHeight="true" outlineLevel="0" collapsed="false">
      <c r="A33" s="3" t="s">
        <v>89</v>
      </c>
      <c r="B33" s="20" t="n">
        <v>5</v>
      </c>
      <c r="C33" s="3" t="s">
        <v>90</v>
      </c>
    </row>
    <row r="34" customFormat="false" ht="15" hidden="false" customHeight="true" outlineLevel="0" collapsed="false">
      <c r="A34" s="3" t="s">
        <v>91</v>
      </c>
      <c r="B34" s="20" t="n">
        <v>4</v>
      </c>
      <c r="C34" s="3" t="s">
        <v>92</v>
      </c>
    </row>
    <row r="35" customFormat="false" ht="15" hidden="false" customHeight="true" outlineLevel="0" collapsed="false">
      <c r="A35" s="3" t="s">
        <v>93</v>
      </c>
      <c r="B35" s="16" t="n">
        <f aca="false">B31+B32+B33*B34/60</f>
        <v>1.33333333333333</v>
      </c>
      <c r="C35" s="3" t="s">
        <v>94</v>
      </c>
    </row>
    <row r="36" customFormat="false" ht="15" hidden="false" customHeight="true" outlineLevel="0" collapsed="false">
      <c r="A36" s="3" t="s">
        <v>95</v>
      </c>
      <c r="B36" s="23" t="n">
        <v>1</v>
      </c>
      <c r="C36" s="3" t="s">
        <v>96</v>
      </c>
    </row>
    <row r="37" customFormat="false" ht="15" hidden="false" customHeight="true" outlineLevel="0" collapsed="false">
      <c r="A37" s="3" t="s">
        <v>97</v>
      </c>
      <c r="B37" s="23" t="n">
        <v>2.75</v>
      </c>
      <c r="C37" s="3" t="s">
        <v>98</v>
      </c>
    </row>
    <row r="38" customFormat="false" ht="15" hidden="false" customHeight="true" outlineLevel="0" collapsed="false">
      <c r="A38" s="3" t="s">
        <v>99</v>
      </c>
      <c r="B38" s="23" t="n">
        <v>5</v>
      </c>
      <c r="C38" s="3" t="s">
        <v>98</v>
      </c>
    </row>
    <row r="39" customFormat="false" ht="15" hidden="false" customHeight="true" outlineLevel="0" collapsed="false">
      <c r="A39" s="3" t="s">
        <v>100</v>
      </c>
      <c r="B39" s="23" t="n">
        <v>6</v>
      </c>
      <c r="C39" s="3" t="s">
        <v>101</v>
      </c>
    </row>
    <row r="40" customFormat="false" ht="15" hidden="false" customHeight="true" outlineLevel="0" collapsed="false">
      <c r="A40" s="3" t="s">
        <v>102</v>
      </c>
      <c r="B40" s="23" t="n">
        <v>6</v>
      </c>
      <c r="C40" s="3" t="s">
        <v>103</v>
      </c>
    </row>
    <row r="41" customFormat="false" ht="15" hidden="false" customHeight="true" outlineLevel="0" collapsed="false">
      <c r="A41" s="3" t="s">
        <v>104</v>
      </c>
      <c r="B41" s="24" t="n">
        <v>15</v>
      </c>
      <c r="C41" s="3" t="s">
        <v>105</v>
      </c>
    </row>
    <row r="42" customFormat="false" ht="15" hidden="false" customHeight="true" outlineLevel="0" collapsed="false">
      <c r="A42" s="3" t="s">
        <v>39</v>
      </c>
      <c r="B42" s="24" t="n">
        <v>30</v>
      </c>
      <c r="C42" s="3" t="s">
        <v>106</v>
      </c>
    </row>
    <row r="43" customFormat="false" ht="15" hidden="false" customHeight="true" outlineLevel="0" collapsed="false">
      <c r="A43" s="8"/>
      <c r="B43" s="8"/>
      <c r="C43" s="8"/>
    </row>
    <row r="44" customFormat="false" ht="15" hidden="false" customHeight="true" outlineLevel="0" collapsed="false">
      <c r="A44" s="9" t="s">
        <v>107</v>
      </c>
      <c r="B44" s="10"/>
      <c r="C44" s="10"/>
    </row>
    <row r="45" customFormat="false" ht="15" hidden="false" customHeight="true" outlineLevel="0" collapsed="false">
      <c r="A45" s="3" t="s">
        <v>23</v>
      </c>
      <c r="B45" s="18" t="n">
        <v>100000</v>
      </c>
      <c r="C45" s="3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3"/>
    <col collapsed="false" customWidth="true" hidden="false" outlineLevel="0" max="15" min="3" style="1" width="10"/>
  </cols>
  <sheetData>
    <row r="1" customFormat="false" ht="17.25" hidden="false" customHeight="true" outlineLevel="0" collapsed="false">
      <c r="A1" s="2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customFormat="false" ht="15" hidden="false" customHeight="true" outlineLevel="0" collapsed="false">
      <c r="A2" s="3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customFormat="false" ht="15" hidden="false" customHeight="true" outlineLevel="0" collapsed="false">
      <c r="A3" s="25" t="s">
        <v>111</v>
      </c>
      <c r="B3" s="25" t="s">
        <v>112</v>
      </c>
      <c r="C3" s="26" t="n">
        <v>1</v>
      </c>
      <c r="D3" s="26" t="n">
        <v>2</v>
      </c>
      <c r="E3" s="26" t="n">
        <v>3</v>
      </c>
      <c r="F3" s="26" t="n">
        <v>4</v>
      </c>
      <c r="G3" s="26" t="n">
        <v>5</v>
      </c>
      <c r="H3" s="26" t="n">
        <v>6</v>
      </c>
      <c r="I3" s="26" t="n">
        <v>7</v>
      </c>
      <c r="J3" s="26" t="n">
        <v>8</v>
      </c>
      <c r="K3" s="26" t="n">
        <v>9</v>
      </c>
      <c r="L3" s="26" t="n">
        <v>10</v>
      </c>
      <c r="M3" s="26" t="n">
        <v>11</v>
      </c>
      <c r="N3" s="26" t="n">
        <v>12</v>
      </c>
      <c r="O3" s="26" t="n">
        <v>13</v>
      </c>
    </row>
    <row r="4" customFormat="false" ht="15" hidden="false" customHeight="true" outlineLevel="0" collapsed="false">
      <c r="A4" s="9" t="s">
        <v>113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customFormat="false" ht="15" hidden="false" customHeight="true" outlineLevel="0" collapsed="false">
      <c r="A5" s="3" t="s">
        <v>114</v>
      </c>
      <c r="B5" s="27" t="n">
        <f aca="false">SUM(C5:O5)</f>
        <v>10</v>
      </c>
      <c r="C5" s="20" t="n">
        <v>0</v>
      </c>
      <c r="D5" s="20" t="n">
        <v>0</v>
      </c>
      <c r="E5" s="20" t="n">
        <v>0</v>
      </c>
      <c r="F5" s="20" t="n">
        <v>1</v>
      </c>
      <c r="G5" s="20" t="n">
        <v>1</v>
      </c>
      <c r="H5" s="20" t="n">
        <v>1</v>
      </c>
      <c r="I5" s="20" t="n">
        <v>1</v>
      </c>
      <c r="J5" s="20" t="n">
        <v>1</v>
      </c>
      <c r="K5" s="20" t="n">
        <v>1</v>
      </c>
      <c r="L5" s="20" t="n">
        <v>1</v>
      </c>
      <c r="M5" s="20" t="n">
        <v>1</v>
      </c>
      <c r="N5" s="20" t="n">
        <v>1</v>
      </c>
      <c r="O5" s="20" t="n">
        <v>1</v>
      </c>
    </row>
    <row r="6" customFormat="false" ht="15" hidden="false" customHeight="true" outlineLevel="0" collapsed="false">
      <c r="A6" s="3" t="s">
        <v>115</v>
      </c>
      <c r="B6" s="27" t="n">
        <f aca="false">SUM(C6:O6)</f>
        <v>0</v>
      </c>
      <c r="C6" s="20" t="n">
        <v>0</v>
      </c>
      <c r="D6" s="20" t="n">
        <v>0</v>
      </c>
      <c r="E6" s="20" t="n">
        <v>0</v>
      </c>
      <c r="F6" s="20" t="n">
        <v>0</v>
      </c>
      <c r="G6" s="20" t="n">
        <v>0</v>
      </c>
      <c r="H6" s="20" t="n">
        <v>0</v>
      </c>
      <c r="I6" s="20" t="n">
        <v>0</v>
      </c>
      <c r="J6" s="20" t="n">
        <v>0</v>
      </c>
      <c r="K6" s="20" t="n">
        <v>0</v>
      </c>
      <c r="L6" s="20" t="n">
        <v>0</v>
      </c>
      <c r="M6" s="20" t="n">
        <v>0</v>
      </c>
      <c r="N6" s="20" t="n">
        <v>0</v>
      </c>
      <c r="O6" s="20" t="n">
        <v>0</v>
      </c>
    </row>
    <row r="7" customFormat="false" ht="15" hidden="false" customHeight="true" outlineLevel="0" collapsed="false">
      <c r="A7" s="3" t="s">
        <v>116</v>
      </c>
      <c r="B7" s="27" t="n">
        <f aca="false">SUM(C7:O7)</f>
        <v>0</v>
      </c>
      <c r="C7" s="20" t="n">
        <v>0</v>
      </c>
      <c r="D7" s="20" t="n">
        <v>0</v>
      </c>
      <c r="E7" s="20" t="n">
        <v>0</v>
      </c>
      <c r="F7" s="20" t="n">
        <v>0</v>
      </c>
      <c r="G7" s="20" t="n">
        <v>0</v>
      </c>
      <c r="H7" s="20" t="n">
        <v>0</v>
      </c>
      <c r="I7" s="20" t="n">
        <v>0</v>
      </c>
      <c r="J7" s="20" t="n">
        <v>0</v>
      </c>
      <c r="K7" s="20" t="n">
        <v>0</v>
      </c>
      <c r="L7" s="20" t="n">
        <v>0</v>
      </c>
      <c r="M7" s="20" t="n">
        <v>0</v>
      </c>
      <c r="N7" s="20" t="n">
        <v>0</v>
      </c>
      <c r="O7" s="20" t="n">
        <v>0</v>
      </c>
    </row>
    <row r="8" customFormat="false" ht="15" hidden="false" customHeight="true" outlineLevel="0" collapsed="false">
      <c r="A8" s="3" t="s">
        <v>117</v>
      </c>
      <c r="B8" s="27" t="n">
        <f aca="false">SUM(C8:O8)</f>
        <v>0</v>
      </c>
      <c r="C8" s="20" t="n">
        <v>0</v>
      </c>
      <c r="D8" s="20" t="n">
        <v>0</v>
      </c>
      <c r="E8" s="20" t="n">
        <v>0</v>
      </c>
      <c r="F8" s="20" t="n">
        <v>0</v>
      </c>
      <c r="G8" s="20" t="n">
        <v>0</v>
      </c>
      <c r="H8" s="20" t="n">
        <v>0</v>
      </c>
      <c r="I8" s="20" t="n">
        <v>0</v>
      </c>
      <c r="J8" s="20" t="n">
        <v>0</v>
      </c>
      <c r="K8" s="20" t="n">
        <v>0</v>
      </c>
      <c r="L8" s="20" t="n">
        <v>0</v>
      </c>
      <c r="M8" s="20" t="n">
        <v>0</v>
      </c>
      <c r="N8" s="20" t="n">
        <v>0</v>
      </c>
      <c r="O8" s="20" t="n">
        <v>0</v>
      </c>
    </row>
    <row r="9" customFormat="false" ht="15" hidden="false" customHeight="true" outlineLevel="0" collapsed="false">
      <c r="A9" s="3" t="s">
        <v>118</v>
      </c>
      <c r="B9" s="27" t="n">
        <f aca="false">SUM(C9:O9)</f>
        <v>0</v>
      </c>
      <c r="C9" s="20" t="n">
        <v>0</v>
      </c>
      <c r="D9" s="20" t="n">
        <v>0</v>
      </c>
      <c r="E9" s="20" t="n">
        <v>0</v>
      </c>
      <c r="F9" s="20" t="n">
        <v>0</v>
      </c>
      <c r="G9" s="20" t="n">
        <v>0</v>
      </c>
      <c r="H9" s="20" t="n">
        <v>0</v>
      </c>
      <c r="I9" s="20" t="n">
        <v>0</v>
      </c>
      <c r="J9" s="20" t="n">
        <v>0</v>
      </c>
      <c r="K9" s="20" t="n">
        <v>0</v>
      </c>
      <c r="L9" s="20" t="n">
        <v>0</v>
      </c>
      <c r="M9" s="20" t="n">
        <v>0</v>
      </c>
      <c r="N9" s="20" t="n">
        <v>0</v>
      </c>
      <c r="O9" s="20" t="n">
        <v>0</v>
      </c>
    </row>
    <row r="10" customFormat="false" ht="15" hidden="false" customHeight="tru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15" hidden="false" customHeight="true" outlineLevel="0" collapsed="false">
      <c r="A11" s="9" t="s">
        <v>119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customFormat="false" ht="15" hidden="false" customHeight="true" outlineLevel="0" collapsed="false">
      <c r="A12" s="3" t="s">
        <v>120</v>
      </c>
      <c r="B12" s="28" t="n">
        <f aca="false">SUM(C12:O12)</f>
        <v>103250</v>
      </c>
      <c r="C12" s="12" t="n">
        <f aca="false">C5*(Inputs!$B$16*Inputs!$B$4+Inputs!$B$17*Inputs!$B$5*Inputs!$B$6+Inputs!$B$18*Inputs!$B$7*Inputs!$B$8)-C5*Inputs!$B$21*Inputs!$B$22</f>
        <v>0</v>
      </c>
      <c r="D12" s="12" t="n">
        <f aca="false">D5*(Inputs!$B$16*Inputs!$B$4+Inputs!$B$17*Inputs!$B$5*Inputs!$B$6+Inputs!$B$18*Inputs!$B$7*Inputs!$B$8)-D5*Inputs!$B$21*Inputs!$B$22</f>
        <v>0</v>
      </c>
      <c r="E12" s="12" t="n">
        <f aca="false">E5*(Inputs!$B$16*Inputs!$B$4+Inputs!$B$17*Inputs!$B$5*Inputs!$B$6+Inputs!$B$18*Inputs!$B$7*Inputs!$B$8)-E5*Inputs!$B$21*Inputs!$B$22</f>
        <v>0</v>
      </c>
      <c r="F12" s="12" t="n">
        <f aca="false">F5*(Inputs!$B$16*Inputs!$B$4+Inputs!$B$17*Inputs!$B$5*Inputs!$B$6+Inputs!$B$18*Inputs!$B$7*Inputs!$B$8)-F5*Inputs!$B$21*Inputs!$B$22</f>
        <v>10325</v>
      </c>
      <c r="G12" s="12" t="n">
        <f aca="false">G5*(Inputs!$B$16*Inputs!$B$4+Inputs!$B$17*Inputs!$B$5*Inputs!$B$6+Inputs!$B$18*Inputs!$B$7*Inputs!$B$8)-G5*Inputs!$B$21*Inputs!$B$22</f>
        <v>10325</v>
      </c>
      <c r="H12" s="12" t="n">
        <f aca="false">H5*(Inputs!$B$16*Inputs!$B$4+Inputs!$B$17*Inputs!$B$5*Inputs!$B$6+Inputs!$B$18*Inputs!$B$7*Inputs!$B$8)-H5*Inputs!$B$21*Inputs!$B$22</f>
        <v>10325</v>
      </c>
      <c r="I12" s="12" t="n">
        <f aca="false">I5*(Inputs!$B$16*Inputs!$B$4+Inputs!$B$17*Inputs!$B$5*Inputs!$B$6+Inputs!$B$18*Inputs!$B$7*Inputs!$B$8)-I5*Inputs!$B$21*Inputs!$B$22</f>
        <v>10325</v>
      </c>
      <c r="J12" s="12" t="n">
        <f aca="false">J5*(Inputs!$B$16*Inputs!$B$4+Inputs!$B$17*Inputs!$B$5*Inputs!$B$6+Inputs!$B$18*Inputs!$B$7*Inputs!$B$8)-J5*Inputs!$B$21*Inputs!$B$22</f>
        <v>10325</v>
      </c>
      <c r="K12" s="12" t="n">
        <f aca="false">K5*(Inputs!$B$16*Inputs!$B$4+Inputs!$B$17*Inputs!$B$5*Inputs!$B$6+Inputs!$B$18*Inputs!$B$7*Inputs!$B$8)-K5*Inputs!$B$21*Inputs!$B$22</f>
        <v>10325</v>
      </c>
      <c r="L12" s="12" t="n">
        <f aca="false">L5*(Inputs!$B$16*Inputs!$B$4+Inputs!$B$17*Inputs!$B$5*Inputs!$B$6+Inputs!$B$18*Inputs!$B$7*Inputs!$B$8)-L5*Inputs!$B$21*Inputs!$B$22</f>
        <v>10325</v>
      </c>
      <c r="M12" s="12" t="n">
        <f aca="false">M5*(Inputs!$B$16*Inputs!$B$4+Inputs!$B$17*Inputs!$B$5*Inputs!$B$6+Inputs!$B$18*Inputs!$B$7*Inputs!$B$8)-M5*Inputs!$B$21*Inputs!$B$22</f>
        <v>10325</v>
      </c>
      <c r="N12" s="12" t="n">
        <f aca="false">N5*(Inputs!$B$16*Inputs!$B$4+Inputs!$B$17*Inputs!$B$5*Inputs!$B$6+Inputs!$B$18*Inputs!$B$7*Inputs!$B$8)-N5*Inputs!$B$21*Inputs!$B$22</f>
        <v>10325</v>
      </c>
      <c r="O12" s="12" t="n">
        <f aca="false">O5*(Inputs!$B$16*Inputs!$B$4+Inputs!$B$17*Inputs!$B$5*Inputs!$B$6+Inputs!$B$18*Inputs!$B$7*Inputs!$B$8)-O5*Inputs!$B$21*Inputs!$B$22</f>
        <v>10325</v>
      </c>
    </row>
    <row r="13" customFormat="false" ht="15" hidden="false" customHeight="true" outlineLevel="0" collapsed="false">
      <c r="A13" s="3" t="s">
        <v>121</v>
      </c>
      <c r="B13" s="28" t="n">
        <f aca="false">SUM(C13:O13)</f>
        <v>0</v>
      </c>
      <c r="C13" s="12" t="n">
        <f aca="false">C6*Inputs!$B$10+C7*Inputs!$B$11+C8*Inputs!$B$12+C9*Inputs!$B$13</f>
        <v>0</v>
      </c>
      <c r="D13" s="12" t="n">
        <f aca="false">D6*Inputs!$B$10+D7*Inputs!$B$11+D8*Inputs!$B$12+D9*Inputs!$B$13</f>
        <v>0</v>
      </c>
      <c r="E13" s="12" t="n">
        <f aca="false">E6*Inputs!$B$10+E7*Inputs!$B$11+E8*Inputs!$B$12+E9*Inputs!$B$13</f>
        <v>0</v>
      </c>
      <c r="F13" s="12" t="n">
        <f aca="false">F6*Inputs!$B$10+F7*Inputs!$B$11+F8*Inputs!$B$12+F9*Inputs!$B$13</f>
        <v>0</v>
      </c>
      <c r="G13" s="12" t="n">
        <f aca="false">G6*Inputs!$B$10+G7*Inputs!$B$11+G8*Inputs!$B$12+G9*Inputs!$B$13</f>
        <v>0</v>
      </c>
      <c r="H13" s="12" t="n">
        <f aca="false">H6*Inputs!$B$10+H7*Inputs!$B$11+H8*Inputs!$B$12+H9*Inputs!$B$13</f>
        <v>0</v>
      </c>
      <c r="I13" s="12" t="n">
        <f aca="false">I6*Inputs!$B$10+I7*Inputs!$B$11+I8*Inputs!$B$12+I9*Inputs!$B$13</f>
        <v>0</v>
      </c>
      <c r="J13" s="12" t="n">
        <f aca="false">J6*Inputs!$B$10+J7*Inputs!$B$11+J8*Inputs!$B$12+J9*Inputs!$B$13</f>
        <v>0</v>
      </c>
      <c r="K13" s="12" t="n">
        <f aca="false">K6*Inputs!$B$10+K7*Inputs!$B$11+K8*Inputs!$B$12+K9*Inputs!$B$13</f>
        <v>0</v>
      </c>
      <c r="L13" s="12" t="n">
        <f aca="false">L6*Inputs!$B$10+L7*Inputs!$B$11+L8*Inputs!$B$12+L9*Inputs!$B$13</f>
        <v>0</v>
      </c>
      <c r="M13" s="12" t="n">
        <f aca="false">M6*Inputs!$B$10+M7*Inputs!$B$11+M8*Inputs!$B$12+M9*Inputs!$B$13</f>
        <v>0</v>
      </c>
      <c r="N13" s="12" t="n">
        <f aca="false">N6*Inputs!$B$10+N7*Inputs!$B$11+N8*Inputs!$B$12+N9*Inputs!$B$13</f>
        <v>0</v>
      </c>
      <c r="O13" s="12" t="n">
        <f aca="false">O6*Inputs!$B$10+O7*Inputs!$B$11+O8*Inputs!$B$12+O9*Inputs!$B$13</f>
        <v>0</v>
      </c>
    </row>
    <row r="14" customFormat="false" ht="15" hidden="false" customHeight="true" outlineLevel="0" collapsed="false">
      <c r="A14" s="4" t="s">
        <v>122</v>
      </c>
      <c r="B14" s="28" t="n">
        <f aca="false">SUM(C14:O14)</f>
        <v>103250</v>
      </c>
      <c r="C14" s="28" t="n">
        <f aca="false">C12+C13</f>
        <v>0</v>
      </c>
      <c r="D14" s="28" t="n">
        <f aca="false">D12+D13</f>
        <v>0</v>
      </c>
      <c r="E14" s="28" t="n">
        <f aca="false">E12+E13</f>
        <v>0</v>
      </c>
      <c r="F14" s="28" t="n">
        <f aca="false">F12+F13</f>
        <v>10325</v>
      </c>
      <c r="G14" s="28" t="n">
        <f aca="false">G12+G13</f>
        <v>10325</v>
      </c>
      <c r="H14" s="28" t="n">
        <f aca="false">H12+H13</f>
        <v>10325</v>
      </c>
      <c r="I14" s="28" t="n">
        <f aca="false">I12+I13</f>
        <v>10325</v>
      </c>
      <c r="J14" s="28" t="n">
        <f aca="false">J12+J13</f>
        <v>10325</v>
      </c>
      <c r="K14" s="28" t="n">
        <f aca="false">K12+K13</f>
        <v>10325</v>
      </c>
      <c r="L14" s="28" t="n">
        <f aca="false">L12+L13</f>
        <v>10325</v>
      </c>
      <c r="M14" s="28" t="n">
        <f aca="false">M12+M13</f>
        <v>10325</v>
      </c>
      <c r="N14" s="28" t="n">
        <f aca="false">N12+N13</f>
        <v>10325</v>
      </c>
      <c r="O14" s="28" t="n">
        <f aca="false">O12+O13</f>
        <v>10325</v>
      </c>
    </row>
    <row r="15" customFormat="false" ht="15" hidden="false" customHeight="true" outlineLevel="0" collapsed="false">
      <c r="A15" s="3" t="s">
        <v>123</v>
      </c>
      <c r="B15" s="28" t="n">
        <f aca="false">O15</f>
        <v>103250</v>
      </c>
      <c r="C15" s="12" t="n">
        <f aca="false">SUM($C$14:C14)</f>
        <v>0</v>
      </c>
      <c r="D15" s="12" t="n">
        <f aca="false">SUM($C$14:D14)</f>
        <v>0</v>
      </c>
      <c r="E15" s="12" t="n">
        <f aca="false">SUM($C$14:E14)</f>
        <v>0</v>
      </c>
      <c r="F15" s="12" t="n">
        <f aca="false">SUM($C$14:F14)</f>
        <v>10325</v>
      </c>
      <c r="G15" s="12" t="n">
        <f aca="false">SUM($C$14:G14)</f>
        <v>20650</v>
      </c>
      <c r="H15" s="12" t="n">
        <f aca="false">SUM($C$14:H14)</f>
        <v>30975</v>
      </c>
      <c r="I15" s="12" t="n">
        <f aca="false">SUM($C$14:I14)</f>
        <v>41300</v>
      </c>
      <c r="J15" s="12" t="n">
        <f aca="false">SUM($C$14:J14)</f>
        <v>51625</v>
      </c>
      <c r="K15" s="12" t="n">
        <f aca="false">SUM($C$14:K14)</f>
        <v>61950</v>
      </c>
      <c r="L15" s="12" t="n">
        <f aca="false">SUM($C$14:L14)</f>
        <v>72275</v>
      </c>
      <c r="M15" s="12" t="n">
        <f aca="false">SUM($C$14:M14)</f>
        <v>82600</v>
      </c>
      <c r="N15" s="12" t="n">
        <f aca="false">SUM($C$14:N14)</f>
        <v>92925</v>
      </c>
      <c r="O15" s="12" t="n">
        <f aca="false">SUM($C$14:O14)</f>
        <v>103250</v>
      </c>
    </row>
    <row r="16" customFormat="false" ht="15" hidden="false" customHeight="tru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15" hidden="false" customHeight="true" outlineLevel="0" collapsed="false">
      <c r="A17" s="9" t="s">
        <v>124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customFormat="false" ht="15" hidden="false" customHeight="true" outlineLevel="0" collapsed="false">
      <c r="A18" s="3" t="s">
        <v>125</v>
      </c>
      <c r="B18" s="8"/>
      <c r="C18" s="17" t="n">
        <f aca="false">IF(C$3&lt;=Inputs!$B$9,0,INDEX($C$5:$O$5,C$3-Inputs!$B$9))</f>
        <v>0</v>
      </c>
      <c r="D18" s="17" t="n">
        <f aca="false">IF(D$3&lt;=Inputs!$B$9,0,INDEX($C$5:$O$5,D$3-Inputs!$B$9))</f>
        <v>0</v>
      </c>
      <c r="E18" s="17" t="n">
        <f aca="false">IF(E$3&lt;=Inputs!$B$9,0,INDEX($C$5:$O$5,E$3-Inputs!$B$9))</f>
        <v>0</v>
      </c>
      <c r="F18" s="17" t="n">
        <f aca="false">IF(F$3&lt;=Inputs!$B$9,0,INDEX($C$5:$O$5,F$3-Inputs!$B$9))</f>
        <v>0</v>
      </c>
      <c r="G18" s="17" t="n">
        <f aca="false">IF(G$3&lt;=Inputs!$B$9,0,INDEX($C$5:$O$5,G$3-Inputs!$B$9))</f>
        <v>0</v>
      </c>
      <c r="H18" s="17" t="n">
        <f aca="false">IF(H$3&lt;=Inputs!$B$9,0,INDEX($C$5:$O$5,H$3-Inputs!$B$9))</f>
        <v>0</v>
      </c>
      <c r="I18" s="17" t="n">
        <f aca="false">IF(I$3&lt;=Inputs!$B$9,0,INDEX($C$5:$O$5,I$3-Inputs!$B$9))</f>
        <v>0</v>
      </c>
      <c r="J18" s="17" t="n">
        <f aca="false">IF(J$3&lt;=Inputs!$B$9,0,INDEX($C$5:$O$5,J$3-Inputs!$B$9))</f>
        <v>1</v>
      </c>
      <c r="K18" s="17" t="n">
        <f aca="false">IF(K$3&lt;=Inputs!$B$9,0,INDEX($C$5:$O$5,K$3-Inputs!$B$9))</f>
        <v>1</v>
      </c>
      <c r="L18" s="17" t="n">
        <f aca="false">IF(L$3&lt;=Inputs!$B$9,0,INDEX($C$5:$O$5,L$3-Inputs!$B$9))</f>
        <v>1</v>
      </c>
      <c r="M18" s="17" t="n">
        <f aca="false">IF(M$3&lt;=Inputs!$B$9,0,INDEX($C$5:$O$5,M$3-Inputs!$B$9))</f>
        <v>1</v>
      </c>
      <c r="N18" s="17" t="n">
        <f aca="false">IF(N$3&lt;=Inputs!$B$9,0,INDEX($C$5:$O$5,N$3-Inputs!$B$9))</f>
        <v>1</v>
      </c>
      <c r="O18" s="17" t="n">
        <f aca="false">IF(O$3&lt;=Inputs!$B$9,0,INDEX($C$5:$O$5,O$3-Inputs!$B$9))</f>
        <v>1</v>
      </c>
    </row>
    <row r="19" customFormat="false" ht="15" hidden="false" customHeight="true" outlineLevel="0" collapsed="false">
      <c r="A19" s="3" t="s">
        <v>126</v>
      </c>
      <c r="B19" s="8"/>
      <c r="C19" s="17" t="n">
        <f aca="false">IF(C$3&lt;=2*Inputs!$B$9,0,INDEX($C$5:$O$5,C$3-2*Inputs!$B$9))</f>
        <v>0</v>
      </c>
      <c r="D19" s="17" t="n">
        <f aca="false">IF(D$3&lt;=2*Inputs!$B$9,0,INDEX($C$5:$O$5,D$3-2*Inputs!$B$9))</f>
        <v>0</v>
      </c>
      <c r="E19" s="17" t="n">
        <f aca="false">IF(E$3&lt;=2*Inputs!$B$9,0,INDEX($C$5:$O$5,E$3-2*Inputs!$B$9))</f>
        <v>0</v>
      </c>
      <c r="F19" s="17" t="n">
        <f aca="false">IF(F$3&lt;=2*Inputs!$B$9,0,INDEX($C$5:$O$5,F$3-2*Inputs!$B$9))</f>
        <v>0</v>
      </c>
      <c r="G19" s="17" t="n">
        <f aca="false">IF(G$3&lt;=2*Inputs!$B$9,0,INDEX($C$5:$O$5,G$3-2*Inputs!$B$9))</f>
        <v>0</v>
      </c>
      <c r="H19" s="17" t="n">
        <f aca="false">IF(H$3&lt;=2*Inputs!$B$9,0,INDEX($C$5:$O$5,H$3-2*Inputs!$B$9))</f>
        <v>0</v>
      </c>
      <c r="I19" s="17" t="n">
        <f aca="false">IF(I$3&lt;=2*Inputs!$B$9,0,INDEX($C$5:$O$5,I$3-2*Inputs!$B$9))</f>
        <v>0</v>
      </c>
      <c r="J19" s="17" t="n">
        <f aca="false">IF(J$3&lt;=2*Inputs!$B$9,0,INDEX($C$5:$O$5,J$3-2*Inputs!$B$9))</f>
        <v>0</v>
      </c>
      <c r="K19" s="17" t="n">
        <f aca="false">IF(K$3&lt;=2*Inputs!$B$9,0,INDEX($C$5:$O$5,K$3-2*Inputs!$B$9))</f>
        <v>0</v>
      </c>
      <c r="L19" s="17" t="n">
        <f aca="false">IF(L$3&lt;=2*Inputs!$B$9,0,INDEX($C$5:$O$5,L$3-2*Inputs!$B$9))</f>
        <v>0</v>
      </c>
      <c r="M19" s="17" t="n">
        <f aca="false">IF(M$3&lt;=2*Inputs!$B$9,0,INDEX($C$5:$O$5,M$3-2*Inputs!$B$9))</f>
        <v>0</v>
      </c>
      <c r="N19" s="17" t="n">
        <f aca="false">IF(N$3&lt;=2*Inputs!$B$9,0,INDEX($C$5:$O$5,N$3-2*Inputs!$B$9))</f>
        <v>1</v>
      </c>
      <c r="O19" s="17" t="n">
        <f aca="false">IF(O$3&lt;=2*Inputs!$B$9,0,INDEX($C$5:$O$5,O$3-2*Inputs!$B$9))</f>
        <v>1</v>
      </c>
    </row>
    <row r="20" customFormat="false" ht="15" hidden="false" customHeight="true" outlineLevel="0" collapsed="false">
      <c r="A20" s="3" t="s">
        <v>127</v>
      </c>
      <c r="B20" s="28" t="n">
        <f aca="false">SUM(C20:O20)</f>
        <v>87200</v>
      </c>
      <c r="C20" s="12" t="n">
        <f aca="false">C5*Inputs!$B$16*Inputs!$B$4+Inputs!$B$17*Inputs!$B$5*(C5+C18)+Inputs!$B$18*Inputs!$B$7*(C5+C18+C19)-C5*Inputs!$B$21*Inputs!$B$22</f>
        <v>0</v>
      </c>
      <c r="D20" s="12" t="n">
        <f aca="false">D5*Inputs!$B$16*Inputs!$B$4+Inputs!$B$17*Inputs!$B$5*(D5+D18)+Inputs!$B$18*Inputs!$B$7*(D5+D18+D19)-D5*Inputs!$B$21*Inputs!$B$22</f>
        <v>0</v>
      </c>
      <c r="E20" s="12" t="n">
        <f aca="false">E5*Inputs!$B$16*Inputs!$B$4+Inputs!$B$17*Inputs!$B$5*(E5+E18)+Inputs!$B$18*Inputs!$B$7*(E5+E18+E19)-E5*Inputs!$B$21*Inputs!$B$22</f>
        <v>0</v>
      </c>
      <c r="F20" s="12" t="n">
        <f aca="false">F5*Inputs!$B$16*Inputs!$B$4+Inputs!$B$17*Inputs!$B$5*(F5+F18)+Inputs!$B$18*Inputs!$B$7*(F5+F18+F19)-F5*Inputs!$B$21*Inputs!$B$22</f>
        <v>7212.5</v>
      </c>
      <c r="G20" s="12" t="n">
        <f aca="false">G5*Inputs!$B$16*Inputs!$B$4+Inputs!$B$17*Inputs!$B$5*(G5+G18)+Inputs!$B$18*Inputs!$B$7*(G5+G18+G19)-G5*Inputs!$B$21*Inputs!$B$22</f>
        <v>7212.5</v>
      </c>
      <c r="H20" s="12" t="n">
        <f aca="false">H5*Inputs!$B$16*Inputs!$B$4+Inputs!$B$17*Inputs!$B$5*(H5+H18)+Inputs!$B$18*Inputs!$B$7*(H5+H18+H19)-H5*Inputs!$B$21*Inputs!$B$22</f>
        <v>7212.5</v>
      </c>
      <c r="I20" s="12" t="n">
        <f aca="false">I5*Inputs!$B$16*Inputs!$B$4+Inputs!$B$17*Inputs!$B$5*(I5+I18)+Inputs!$B$18*Inputs!$B$7*(I5+I18+I19)-I5*Inputs!$B$21*Inputs!$B$22</f>
        <v>7212.5</v>
      </c>
      <c r="J20" s="12" t="n">
        <f aca="false">J5*Inputs!$B$16*Inputs!$B$4+Inputs!$B$17*Inputs!$B$5*(J5+J18)+Inputs!$B$18*Inputs!$B$7*(J5+J18+J19)-J5*Inputs!$B$21*Inputs!$B$22</f>
        <v>9425</v>
      </c>
      <c r="K20" s="12" t="n">
        <f aca="false">K5*Inputs!$B$16*Inputs!$B$4+Inputs!$B$17*Inputs!$B$5*(K5+K18)+Inputs!$B$18*Inputs!$B$7*(K5+K18+K19)-K5*Inputs!$B$21*Inputs!$B$22</f>
        <v>9425</v>
      </c>
      <c r="L20" s="12" t="n">
        <f aca="false">L5*Inputs!$B$16*Inputs!$B$4+Inputs!$B$17*Inputs!$B$5*(L5+L18)+Inputs!$B$18*Inputs!$B$7*(L5+L18+L19)-L5*Inputs!$B$21*Inputs!$B$22</f>
        <v>9425</v>
      </c>
      <c r="M20" s="12" t="n">
        <f aca="false">M5*Inputs!$B$16*Inputs!$B$4+Inputs!$B$17*Inputs!$B$5*(M5+M18)+Inputs!$B$18*Inputs!$B$7*(M5+M18+M19)-M5*Inputs!$B$21*Inputs!$B$22</f>
        <v>9425</v>
      </c>
      <c r="N20" s="12" t="n">
        <f aca="false">N5*Inputs!$B$16*Inputs!$B$4+Inputs!$B$17*Inputs!$B$5*(N5+N18)+Inputs!$B$18*Inputs!$B$7*(N5+N18+N19)-N5*Inputs!$B$21*Inputs!$B$22</f>
        <v>10325</v>
      </c>
      <c r="O20" s="12" t="n">
        <f aca="false">O5*Inputs!$B$16*Inputs!$B$4+Inputs!$B$17*Inputs!$B$5*(O5+O18)+Inputs!$B$18*Inputs!$B$7*(O5+O18+O19)-O5*Inputs!$B$21*Inputs!$B$22</f>
        <v>10325</v>
      </c>
    </row>
    <row r="21" customFormat="false" ht="15" hidden="false" customHeight="true" outlineLevel="0" collapsed="false">
      <c r="A21" s="3" t="s">
        <v>128</v>
      </c>
      <c r="B21" s="28" t="n">
        <f aca="false">SUM(C21:O21)</f>
        <v>0</v>
      </c>
      <c r="C21" s="12" t="n">
        <f aca="false">C13</f>
        <v>0</v>
      </c>
      <c r="D21" s="12" t="n">
        <f aca="false">D13</f>
        <v>0</v>
      </c>
      <c r="E21" s="12" t="n">
        <f aca="false">E13</f>
        <v>0</v>
      </c>
      <c r="F21" s="12" t="n">
        <f aca="false">F13</f>
        <v>0</v>
      </c>
      <c r="G21" s="12" t="n">
        <f aca="false">G13</f>
        <v>0</v>
      </c>
      <c r="H21" s="12" t="n">
        <f aca="false">H13</f>
        <v>0</v>
      </c>
      <c r="I21" s="12" t="n">
        <f aca="false">I13</f>
        <v>0</v>
      </c>
      <c r="J21" s="12" t="n">
        <f aca="false">J13</f>
        <v>0</v>
      </c>
      <c r="K21" s="12" t="n">
        <f aca="false">K13</f>
        <v>0</v>
      </c>
      <c r="L21" s="12" t="n">
        <f aca="false">L13</f>
        <v>0</v>
      </c>
      <c r="M21" s="12" t="n">
        <f aca="false">M13</f>
        <v>0</v>
      </c>
      <c r="N21" s="12" t="n">
        <f aca="false">N13</f>
        <v>0</v>
      </c>
      <c r="O21" s="12" t="n">
        <f aca="false">O13</f>
        <v>0</v>
      </c>
    </row>
    <row r="22" customFormat="false" ht="15" hidden="false" customHeight="true" outlineLevel="0" collapsed="false">
      <c r="A22" s="4" t="s">
        <v>129</v>
      </c>
      <c r="B22" s="28" t="n">
        <f aca="false">SUM(C22:O22)</f>
        <v>87200</v>
      </c>
      <c r="C22" s="28" t="n">
        <f aca="false">C20+C21</f>
        <v>0</v>
      </c>
      <c r="D22" s="28" t="n">
        <f aca="false">D20+D21</f>
        <v>0</v>
      </c>
      <c r="E22" s="28" t="n">
        <f aca="false">E20+E21</f>
        <v>0</v>
      </c>
      <c r="F22" s="28" t="n">
        <f aca="false">F20+F21</f>
        <v>7212.5</v>
      </c>
      <c r="G22" s="28" t="n">
        <f aca="false">G20+G21</f>
        <v>7212.5</v>
      </c>
      <c r="H22" s="28" t="n">
        <f aca="false">H20+H21</f>
        <v>7212.5</v>
      </c>
      <c r="I22" s="28" t="n">
        <f aca="false">I20+I21</f>
        <v>7212.5</v>
      </c>
      <c r="J22" s="28" t="n">
        <f aca="false">J20+J21</f>
        <v>9425</v>
      </c>
      <c r="K22" s="28" t="n">
        <f aca="false">K20+K21</f>
        <v>9425</v>
      </c>
      <c r="L22" s="28" t="n">
        <f aca="false">L20+L21</f>
        <v>9425</v>
      </c>
      <c r="M22" s="28" t="n">
        <f aca="false">M20+M21</f>
        <v>9425</v>
      </c>
      <c r="N22" s="28" t="n">
        <f aca="false">N20+N21</f>
        <v>10325</v>
      </c>
      <c r="O22" s="28" t="n">
        <f aca="false">O20+O21</f>
        <v>10325</v>
      </c>
    </row>
    <row r="23" customFormat="false" ht="15" hidden="false" customHeight="true" outlineLevel="0" collapsed="false">
      <c r="A23" s="3" t="s">
        <v>130</v>
      </c>
      <c r="B23" s="28" t="n">
        <f aca="false">O23</f>
        <v>87200</v>
      </c>
      <c r="C23" s="12" t="n">
        <f aca="false">SUM($C$22:C22)</f>
        <v>0</v>
      </c>
      <c r="D23" s="12" t="n">
        <f aca="false">SUM($C$22:D22)</f>
        <v>0</v>
      </c>
      <c r="E23" s="12" t="n">
        <f aca="false">SUM($C$22:E22)</f>
        <v>0</v>
      </c>
      <c r="F23" s="12" t="n">
        <f aca="false">SUM($C$22:F22)</f>
        <v>7212.5</v>
      </c>
      <c r="G23" s="12" t="n">
        <f aca="false">SUM($C$22:G22)</f>
        <v>14425</v>
      </c>
      <c r="H23" s="12" t="n">
        <f aca="false">SUM($C$22:H22)</f>
        <v>21637.5</v>
      </c>
      <c r="I23" s="12" t="n">
        <f aca="false">SUM($C$22:I22)</f>
        <v>28850</v>
      </c>
      <c r="J23" s="12" t="n">
        <f aca="false">SUM($C$22:J22)</f>
        <v>38275</v>
      </c>
      <c r="K23" s="12" t="n">
        <f aca="false">SUM($C$22:K22)</f>
        <v>47700</v>
      </c>
      <c r="L23" s="12" t="n">
        <f aca="false">SUM($C$22:L22)</f>
        <v>57125</v>
      </c>
      <c r="M23" s="12" t="n">
        <f aca="false">SUM($C$22:M22)</f>
        <v>66550</v>
      </c>
      <c r="N23" s="12" t="n">
        <f aca="false">SUM($C$22:N22)</f>
        <v>76875</v>
      </c>
      <c r="O23" s="12" t="n">
        <f aca="false">SUM($C$22:O22)</f>
        <v>87200</v>
      </c>
    </row>
    <row r="24" customFormat="false" ht="15" hidden="false" customHeight="tru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15" hidden="false" customHeight="true" outlineLevel="0" collapsed="false">
      <c r="A25" s="9" t="s">
        <v>131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customFormat="false" ht="15" hidden="false" customHeight="true" outlineLevel="0" collapsed="false">
      <c r="A26" s="3" t="s">
        <v>132</v>
      </c>
      <c r="B26" s="29" t="n">
        <f aca="false">SUM(C26:O26)</f>
        <v>40</v>
      </c>
      <c r="C26" s="16" t="n">
        <f aca="false">IFERROR(C5/Inputs!$B$28,0)</f>
        <v>0</v>
      </c>
      <c r="D26" s="16" t="n">
        <f aca="false">IFERROR(D5/Inputs!$B$28,0)</f>
        <v>0</v>
      </c>
      <c r="E26" s="16" t="n">
        <f aca="false">IFERROR(E5/Inputs!$B$28,0)</f>
        <v>0</v>
      </c>
      <c r="F26" s="16" t="n">
        <f aca="false">IFERROR(F5/Inputs!$B$28,0)</f>
        <v>4</v>
      </c>
      <c r="G26" s="16" t="n">
        <f aca="false">IFERROR(G5/Inputs!$B$28,0)</f>
        <v>4</v>
      </c>
      <c r="H26" s="16" t="n">
        <f aca="false">IFERROR(H5/Inputs!$B$28,0)</f>
        <v>4</v>
      </c>
      <c r="I26" s="16" t="n">
        <f aca="false">IFERROR(I5/Inputs!$B$28,0)</f>
        <v>4</v>
      </c>
      <c r="J26" s="16" t="n">
        <f aca="false">IFERROR(J5/Inputs!$B$28,0)</f>
        <v>4</v>
      </c>
      <c r="K26" s="16" t="n">
        <f aca="false">IFERROR(K5/Inputs!$B$28,0)</f>
        <v>4</v>
      </c>
      <c r="L26" s="16" t="n">
        <f aca="false">IFERROR(L5/Inputs!$B$28,0)</f>
        <v>4</v>
      </c>
      <c r="M26" s="16" t="n">
        <f aca="false">IFERROR(M5/Inputs!$B$28,0)</f>
        <v>4</v>
      </c>
      <c r="N26" s="16" t="n">
        <f aca="false">IFERROR(N5/Inputs!$B$28,0)</f>
        <v>4</v>
      </c>
      <c r="O26" s="16" t="n">
        <f aca="false">IFERROR(O5/Inputs!$B$28,0)</f>
        <v>4</v>
      </c>
    </row>
    <row r="27" customFormat="false" ht="15" hidden="false" customHeight="true" outlineLevel="0" collapsed="false">
      <c r="A27" s="3" t="s">
        <v>133</v>
      </c>
      <c r="B27" s="29" t="n">
        <f aca="false">SUM(C27:O27)</f>
        <v>50</v>
      </c>
      <c r="C27" s="16" t="n">
        <f aca="false">IFERROR(C26/Inputs!$B$27,0)</f>
        <v>0</v>
      </c>
      <c r="D27" s="16" t="n">
        <f aca="false">IFERROR(D26/Inputs!$B$27,0)</f>
        <v>0</v>
      </c>
      <c r="E27" s="16" t="n">
        <f aca="false">IFERROR(E26/Inputs!$B$27,0)</f>
        <v>0</v>
      </c>
      <c r="F27" s="16" t="n">
        <f aca="false">IFERROR(F26/Inputs!$B$27,0)</f>
        <v>5</v>
      </c>
      <c r="G27" s="16" t="n">
        <f aca="false">IFERROR(G26/Inputs!$B$27,0)</f>
        <v>5</v>
      </c>
      <c r="H27" s="16" t="n">
        <f aca="false">IFERROR(H26/Inputs!$B$27,0)</f>
        <v>5</v>
      </c>
      <c r="I27" s="16" t="n">
        <f aca="false">IFERROR(I26/Inputs!$B$27,0)</f>
        <v>5</v>
      </c>
      <c r="J27" s="16" t="n">
        <f aca="false">IFERROR(J26/Inputs!$B$27,0)</f>
        <v>5</v>
      </c>
      <c r="K27" s="16" t="n">
        <f aca="false">IFERROR(K26/Inputs!$B$27,0)</f>
        <v>5</v>
      </c>
      <c r="L27" s="16" t="n">
        <f aca="false">IFERROR(L26/Inputs!$B$27,0)</f>
        <v>5</v>
      </c>
      <c r="M27" s="16" t="n">
        <f aca="false">IFERROR(M26/Inputs!$B$27,0)</f>
        <v>5</v>
      </c>
      <c r="N27" s="16" t="n">
        <f aca="false">IFERROR(N26/Inputs!$B$27,0)</f>
        <v>5</v>
      </c>
      <c r="O27" s="16" t="n">
        <f aca="false">IFERROR(O26/Inputs!$B$27,0)</f>
        <v>5</v>
      </c>
    </row>
    <row r="28" customFormat="false" ht="15" hidden="false" customHeight="true" outlineLevel="0" collapsed="false">
      <c r="A28" s="3" t="s">
        <v>134</v>
      </c>
      <c r="B28" s="29" t="n">
        <f aca="false">SUM(C28:O28)</f>
        <v>83.3333333333333</v>
      </c>
      <c r="C28" s="16" t="n">
        <f aca="false">IFERROR(C27/Inputs!$B$26,0)</f>
        <v>0</v>
      </c>
      <c r="D28" s="16" t="n">
        <f aca="false">IFERROR(D27/Inputs!$B$26,0)</f>
        <v>0</v>
      </c>
      <c r="E28" s="16" t="n">
        <f aca="false">IFERROR(E27/Inputs!$B$26,0)</f>
        <v>0</v>
      </c>
      <c r="F28" s="16" t="n">
        <f aca="false">IFERROR(F27/Inputs!$B$26,0)</f>
        <v>8.33333333333333</v>
      </c>
      <c r="G28" s="16" t="n">
        <f aca="false">IFERROR(G27/Inputs!$B$26,0)</f>
        <v>8.33333333333333</v>
      </c>
      <c r="H28" s="16" t="n">
        <f aca="false">IFERROR(H27/Inputs!$B$26,0)</f>
        <v>8.33333333333333</v>
      </c>
      <c r="I28" s="16" t="n">
        <f aca="false">IFERROR(I27/Inputs!$B$26,0)</f>
        <v>8.33333333333333</v>
      </c>
      <c r="J28" s="16" t="n">
        <f aca="false">IFERROR(J27/Inputs!$B$26,0)</f>
        <v>8.33333333333333</v>
      </c>
      <c r="K28" s="16" t="n">
        <f aca="false">IFERROR(K27/Inputs!$B$26,0)</f>
        <v>8.33333333333333</v>
      </c>
      <c r="L28" s="16" t="n">
        <f aca="false">IFERROR(L27/Inputs!$B$26,0)</f>
        <v>8.33333333333333</v>
      </c>
      <c r="M28" s="16" t="n">
        <f aca="false">IFERROR(M27/Inputs!$B$26,0)</f>
        <v>8.33333333333333</v>
      </c>
      <c r="N28" s="16" t="n">
        <f aca="false">IFERROR(N27/Inputs!$B$26,0)</f>
        <v>8.33333333333333</v>
      </c>
      <c r="O28" s="16" t="n">
        <f aca="false">IFERROR(O27/Inputs!$B$26,0)</f>
        <v>8.33333333333333</v>
      </c>
    </row>
    <row r="29" customFormat="false" ht="15" hidden="false" customHeight="true" outlineLevel="0" collapsed="false">
      <c r="A29" s="3" t="s">
        <v>135</v>
      </c>
      <c r="B29" s="29" t="n">
        <f aca="false">SUM(C29:O29)</f>
        <v>333.333333333333</v>
      </c>
      <c r="C29" s="16" t="n">
        <f aca="false">IFERROR(C28/Inputs!$B$25,0)</f>
        <v>0</v>
      </c>
      <c r="D29" s="16" t="n">
        <f aca="false">IFERROR(D28/Inputs!$B$25,0)</f>
        <v>0</v>
      </c>
      <c r="E29" s="16" t="n">
        <f aca="false">IFERROR(E28/Inputs!$B$25,0)</f>
        <v>0</v>
      </c>
      <c r="F29" s="16" t="n">
        <f aca="false">IFERROR(F28/Inputs!$B$25,0)</f>
        <v>33.3333333333333</v>
      </c>
      <c r="G29" s="16" t="n">
        <f aca="false">IFERROR(G28/Inputs!$B$25,0)</f>
        <v>33.3333333333333</v>
      </c>
      <c r="H29" s="16" t="n">
        <f aca="false">IFERROR(H28/Inputs!$B$25,0)</f>
        <v>33.3333333333333</v>
      </c>
      <c r="I29" s="16" t="n">
        <f aca="false">IFERROR(I28/Inputs!$B$25,0)</f>
        <v>33.3333333333333</v>
      </c>
      <c r="J29" s="16" t="n">
        <f aca="false">IFERROR(J28/Inputs!$B$25,0)</f>
        <v>33.3333333333333</v>
      </c>
      <c r="K29" s="16" t="n">
        <f aca="false">IFERROR(K28/Inputs!$B$25,0)</f>
        <v>33.3333333333333</v>
      </c>
      <c r="L29" s="16" t="n">
        <f aca="false">IFERROR(L28/Inputs!$B$25,0)</f>
        <v>33.3333333333333</v>
      </c>
      <c r="M29" s="16" t="n">
        <f aca="false">IFERROR(M28/Inputs!$B$25,0)</f>
        <v>33.3333333333333</v>
      </c>
      <c r="N29" s="16" t="n">
        <f aca="false">IFERROR(N28/Inputs!$B$25,0)</f>
        <v>33.3333333333333</v>
      </c>
      <c r="O29" s="16" t="n">
        <f aca="false">IFERROR(O28/Inputs!$B$25,0)</f>
        <v>33.3333333333333</v>
      </c>
    </row>
    <row r="30" customFormat="false" ht="15" hidden="false" customHeight="tru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15" hidden="false" customHeight="true" outlineLevel="0" collapsed="false">
      <c r="A31" s="9" t="s">
        <v>136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customFormat="false" ht="15" hidden="false" customHeight="true" outlineLevel="0" collapsed="false">
      <c r="A32" s="3" t="s">
        <v>137</v>
      </c>
      <c r="B32" s="27" t="n">
        <f aca="false">O32</f>
        <v>10</v>
      </c>
      <c r="C32" s="17" t="n">
        <f aca="false">SUM($C$5:C5)</f>
        <v>0</v>
      </c>
      <c r="D32" s="17" t="n">
        <f aca="false">SUM($C$5:D5)</f>
        <v>0</v>
      </c>
      <c r="E32" s="17" t="n">
        <f aca="false">SUM($C$5:E5)</f>
        <v>0</v>
      </c>
      <c r="F32" s="17" t="n">
        <f aca="false">SUM($C$5:F5)</f>
        <v>1</v>
      </c>
      <c r="G32" s="17" t="n">
        <f aca="false">SUM($C$5:G5)</f>
        <v>2</v>
      </c>
      <c r="H32" s="17" t="n">
        <f aca="false">SUM($C$5:H5)</f>
        <v>3</v>
      </c>
      <c r="I32" s="17" t="n">
        <f aca="false">SUM($C$5:I5)</f>
        <v>4</v>
      </c>
      <c r="J32" s="17" t="n">
        <f aca="false">SUM($C$5:J5)</f>
        <v>5</v>
      </c>
      <c r="K32" s="17" t="n">
        <f aca="false">SUM($C$5:K5)</f>
        <v>6</v>
      </c>
      <c r="L32" s="17" t="n">
        <f aca="false">SUM($C$5:L5)</f>
        <v>7</v>
      </c>
      <c r="M32" s="17" t="n">
        <f aca="false">SUM($C$5:M5)</f>
        <v>8</v>
      </c>
      <c r="N32" s="17" t="n">
        <f aca="false">SUM($C$5:N5)</f>
        <v>9</v>
      </c>
      <c r="O32" s="17" t="n">
        <f aca="false">SUM($C$5:O5)</f>
        <v>10</v>
      </c>
    </row>
    <row r="33" customFormat="false" ht="15" hidden="false" customHeight="true" outlineLevel="0" collapsed="false">
      <c r="A33" s="3" t="s">
        <v>138</v>
      </c>
      <c r="B33" s="29" t="n">
        <f aca="false">MAX(C33:O33)</f>
        <v>20.3333333333333</v>
      </c>
      <c r="C33" s="16" t="n">
        <f aca="false">C32*Inputs!$B$35+IF(C32&gt;0,Inputs!$B$36,0)+C5*Inputs!$B$40</f>
        <v>0</v>
      </c>
      <c r="D33" s="16" t="n">
        <f aca="false">D32*Inputs!$B$35+IF(D32&gt;0,Inputs!$B$36,0)+D5*Inputs!$B$40</f>
        <v>0</v>
      </c>
      <c r="E33" s="16" t="n">
        <f aca="false">E32*Inputs!$B$35+IF(E32&gt;0,Inputs!$B$36,0)+E5*Inputs!$B$40</f>
        <v>0</v>
      </c>
      <c r="F33" s="16" t="n">
        <f aca="false">F32*Inputs!$B$35+IF(F32&gt;0,Inputs!$B$36,0)+F5*Inputs!$B$40</f>
        <v>8.33333333333333</v>
      </c>
      <c r="G33" s="16" t="n">
        <f aca="false">G32*Inputs!$B$35+IF(G32&gt;0,Inputs!$B$36,0)+G5*Inputs!$B$40</f>
        <v>9.66666666666667</v>
      </c>
      <c r="H33" s="16" t="n">
        <f aca="false">H32*Inputs!$B$35+IF(H32&gt;0,Inputs!$B$36,0)+H5*Inputs!$B$40</f>
        <v>11</v>
      </c>
      <c r="I33" s="16" t="n">
        <f aca="false">I32*Inputs!$B$35+IF(I32&gt;0,Inputs!$B$36,0)+I5*Inputs!$B$40</f>
        <v>12.3333333333333</v>
      </c>
      <c r="J33" s="16" t="n">
        <f aca="false">J32*Inputs!$B$35+IF(J32&gt;0,Inputs!$B$36,0)+J5*Inputs!$B$40</f>
        <v>13.6666666666667</v>
      </c>
      <c r="K33" s="16" t="n">
        <f aca="false">K32*Inputs!$B$35+IF(K32&gt;0,Inputs!$B$36,0)+K5*Inputs!$B$40</f>
        <v>15</v>
      </c>
      <c r="L33" s="16" t="n">
        <f aca="false">L32*Inputs!$B$35+IF(L32&gt;0,Inputs!$B$36,0)+L5*Inputs!$B$40</f>
        <v>16.3333333333333</v>
      </c>
      <c r="M33" s="16" t="n">
        <f aca="false">M32*Inputs!$B$35+IF(M32&gt;0,Inputs!$B$36,0)+M5*Inputs!$B$40</f>
        <v>17.6666666666667</v>
      </c>
      <c r="N33" s="16" t="n">
        <f aca="false">N32*Inputs!$B$35+IF(N32&gt;0,Inputs!$B$36,0)+N5*Inputs!$B$40</f>
        <v>19</v>
      </c>
      <c r="O33" s="16" t="n">
        <f aca="false">O32*Inputs!$B$35+IF(O32&gt;0,Inputs!$B$36,0)+O5*Inputs!$B$40</f>
        <v>20.3333333333333</v>
      </c>
    </row>
    <row r="34" customFormat="false" ht="15" hidden="false" customHeight="true" outlineLevel="0" collapsed="false">
      <c r="A34" s="3" t="s">
        <v>139</v>
      </c>
      <c r="B34" s="29" t="n">
        <f aca="false">MAX(C34:O34)</f>
        <v>0</v>
      </c>
      <c r="C34" s="16" t="n">
        <f aca="false">C6*Inputs!$B$37+C7*Inputs!$B$38+C8*Inputs!$B$39</f>
        <v>0</v>
      </c>
      <c r="D34" s="16" t="n">
        <f aca="false">D6*Inputs!$B$37+D7*Inputs!$B$38+D8*Inputs!$B$39</f>
        <v>0</v>
      </c>
      <c r="E34" s="16" t="n">
        <f aca="false">E6*Inputs!$B$37+E7*Inputs!$B$38+E8*Inputs!$B$39</f>
        <v>0</v>
      </c>
      <c r="F34" s="16" t="n">
        <f aca="false">F6*Inputs!$B$37+F7*Inputs!$B$38+F8*Inputs!$B$39</f>
        <v>0</v>
      </c>
      <c r="G34" s="16" t="n">
        <f aca="false">G6*Inputs!$B$37+G7*Inputs!$B$38+G8*Inputs!$B$39</f>
        <v>0</v>
      </c>
      <c r="H34" s="16" t="n">
        <f aca="false">H6*Inputs!$B$37+H7*Inputs!$B$38+H8*Inputs!$B$39</f>
        <v>0</v>
      </c>
      <c r="I34" s="16" t="n">
        <f aca="false">I6*Inputs!$B$37+I7*Inputs!$B$38+I8*Inputs!$B$39</f>
        <v>0</v>
      </c>
      <c r="J34" s="16" t="n">
        <f aca="false">J6*Inputs!$B$37+J7*Inputs!$B$38+J8*Inputs!$B$39</f>
        <v>0</v>
      </c>
      <c r="K34" s="16" t="n">
        <f aca="false">K6*Inputs!$B$37+K7*Inputs!$B$38+K8*Inputs!$B$39</f>
        <v>0</v>
      </c>
      <c r="L34" s="16" t="n">
        <f aca="false">L6*Inputs!$B$37+L7*Inputs!$B$38+L8*Inputs!$B$39</f>
        <v>0</v>
      </c>
      <c r="M34" s="16" t="n">
        <f aca="false">M6*Inputs!$B$37+M7*Inputs!$B$38+M8*Inputs!$B$39</f>
        <v>0</v>
      </c>
      <c r="N34" s="16" t="n">
        <f aca="false">N6*Inputs!$B$37+N7*Inputs!$B$38+N8*Inputs!$B$39</f>
        <v>0</v>
      </c>
      <c r="O34" s="16" t="n">
        <f aca="false">O6*Inputs!$B$37+O7*Inputs!$B$38+O8*Inputs!$B$39</f>
        <v>0</v>
      </c>
    </row>
    <row r="35" customFormat="false" ht="15" hidden="false" customHeight="true" outlineLevel="0" collapsed="false">
      <c r="A35" s="3" t="s">
        <v>140</v>
      </c>
      <c r="B35" s="29" t="n">
        <f aca="false">MAX(C35:O35)</f>
        <v>15</v>
      </c>
      <c r="C35" s="15" t="n">
        <f aca="false">Inputs!$B$41</f>
        <v>15</v>
      </c>
      <c r="D35" s="15" t="n">
        <f aca="false">Inputs!$B$41</f>
        <v>15</v>
      </c>
      <c r="E35" s="15" t="n">
        <f aca="false">Inputs!$B$41</f>
        <v>15</v>
      </c>
      <c r="F35" s="15" t="n">
        <f aca="false">Inputs!$B$41</f>
        <v>15</v>
      </c>
      <c r="G35" s="15" t="n">
        <f aca="false">Inputs!$B$41</f>
        <v>15</v>
      </c>
      <c r="H35" s="15" t="n">
        <f aca="false">Inputs!$B$41</f>
        <v>15</v>
      </c>
      <c r="I35" s="15" t="n">
        <f aca="false">Inputs!$B$41</f>
        <v>15</v>
      </c>
      <c r="J35" s="15" t="n">
        <f aca="false">Inputs!$B$41</f>
        <v>15</v>
      </c>
      <c r="K35" s="15" t="n">
        <f aca="false">Inputs!$B$41</f>
        <v>15</v>
      </c>
      <c r="L35" s="15" t="n">
        <f aca="false">Inputs!$B$41</f>
        <v>15</v>
      </c>
      <c r="M35" s="15" t="n">
        <f aca="false">Inputs!$B$41</f>
        <v>15</v>
      </c>
      <c r="N35" s="15" t="n">
        <f aca="false">Inputs!$B$41</f>
        <v>15</v>
      </c>
      <c r="O35" s="15" t="n">
        <f aca="false">Inputs!$B$41</f>
        <v>15</v>
      </c>
    </row>
    <row r="36" customFormat="false" ht="15" hidden="false" customHeight="true" outlineLevel="0" collapsed="false">
      <c r="A36" s="4" t="s">
        <v>141</v>
      </c>
      <c r="B36" s="29" t="n">
        <f aca="false">MAX(C36:O36)</f>
        <v>35.3333333333333</v>
      </c>
      <c r="C36" s="29" t="n">
        <f aca="false">C33+C34+C35</f>
        <v>15</v>
      </c>
      <c r="D36" s="29" t="n">
        <f aca="false">D33+D34+D35</f>
        <v>15</v>
      </c>
      <c r="E36" s="29" t="n">
        <f aca="false">E33+E34+E35</f>
        <v>15</v>
      </c>
      <c r="F36" s="29" t="n">
        <f aca="false">F33+F34+F35</f>
        <v>23.3333333333333</v>
      </c>
      <c r="G36" s="29" t="n">
        <f aca="false">G33+G34+G35</f>
        <v>24.6666666666667</v>
      </c>
      <c r="H36" s="29" t="n">
        <f aca="false">H33+H34+H35</f>
        <v>26</v>
      </c>
      <c r="I36" s="29" t="n">
        <f aca="false">I33+I34+I35</f>
        <v>27.3333333333333</v>
      </c>
      <c r="J36" s="29" t="n">
        <f aca="false">J33+J34+J35</f>
        <v>28.6666666666667</v>
      </c>
      <c r="K36" s="29" t="n">
        <f aca="false">K33+K34+K35</f>
        <v>30</v>
      </c>
      <c r="L36" s="29" t="n">
        <f aca="false">L33+L34+L35</f>
        <v>31.3333333333333</v>
      </c>
      <c r="M36" s="29" t="n">
        <f aca="false">M33+M34+M35</f>
        <v>32.6666666666667</v>
      </c>
      <c r="N36" s="29" t="n">
        <f aca="false">N33+N34+N35</f>
        <v>34</v>
      </c>
      <c r="O36" s="29" t="n">
        <f aca="false">O33+O34+O35</f>
        <v>35.3333333333333</v>
      </c>
    </row>
    <row r="37" customFormat="false" ht="15" hidden="false" customHeight="true" outlineLevel="0" collapsed="false">
      <c r="A37" s="3" t="s">
        <v>142</v>
      </c>
      <c r="B37" s="29" t="n">
        <f aca="false">MAX(C37:O37)</f>
        <v>30</v>
      </c>
      <c r="C37" s="15" t="n">
        <f aca="false">Inputs!$B$42</f>
        <v>30</v>
      </c>
      <c r="D37" s="15" t="n">
        <f aca="false">Inputs!$B$42</f>
        <v>30</v>
      </c>
      <c r="E37" s="15" t="n">
        <f aca="false">Inputs!$B$42</f>
        <v>30</v>
      </c>
      <c r="F37" s="15" t="n">
        <f aca="false">Inputs!$B$42</f>
        <v>30</v>
      </c>
      <c r="G37" s="15" t="n">
        <f aca="false">Inputs!$B$42</f>
        <v>30</v>
      </c>
      <c r="H37" s="15" t="n">
        <f aca="false">Inputs!$B$42</f>
        <v>30</v>
      </c>
      <c r="I37" s="15" t="n">
        <f aca="false">Inputs!$B$42</f>
        <v>30</v>
      </c>
      <c r="J37" s="15" t="n">
        <f aca="false">Inputs!$B$42</f>
        <v>30</v>
      </c>
      <c r="K37" s="15" t="n">
        <f aca="false">Inputs!$B$42</f>
        <v>30</v>
      </c>
      <c r="L37" s="15" t="n">
        <f aca="false">Inputs!$B$42</f>
        <v>30</v>
      </c>
      <c r="M37" s="15" t="n">
        <f aca="false">Inputs!$B$42</f>
        <v>30</v>
      </c>
      <c r="N37" s="15" t="n">
        <f aca="false">Inputs!$B$42</f>
        <v>30</v>
      </c>
      <c r="O37" s="15" t="n">
        <f aca="false">Inputs!$B$42</f>
        <v>30</v>
      </c>
    </row>
    <row r="38" customFormat="false" ht="15" hidden="false" customHeight="true" outlineLevel="0" collapsed="false">
      <c r="A38" s="3" t="s">
        <v>143</v>
      </c>
      <c r="B38" s="29" t="n">
        <f aca="false">MAX(C38:O38)</f>
        <v>5.33333333333333</v>
      </c>
      <c r="C38" s="16" t="n">
        <f aca="false">C36-C37</f>
        <v>-15</v>
      </c>
      <c r="D38" s="16" t="n">
        <f aca="false">D36-D37</f>
        <v>-15</v>
      </c>
      <c r="E38" s="16" t="n">
        <f aca="false">E36-E37</f>
        <v>-15</v>
      </c>
      <c r="F38" s="16" t="n">
        <f aca="false">F36-F37</f>
        <v>-6.66666666666667</v>
      </c>
      <c r="G38" s="16" t="n">
        <f aca="false">G36-G37</f>
        <v>-5.33333333333334</v>
      </c>
      <c r="H38" s="16" t="n">
        <f aca="false">H36-H37</f>
        <v>-4</v>
      </c>
      <c r="I38" s="16" t="n">
        <f aca="false">I36-I37</f>
        <v>-2.66666666666667</v>
      </c>
      <c r="J38" s="16" t="n">
        <f aca="false">J36-J37</f>
        <v>-1.33333333333334</v>
      </c>
      <c r="K38" s="16" t="n">
        <f aca="false">K36-K37</f>
        <v>0</v>
      </c>
      <c r="L38" s="16" t="n">
        <f aca="false">L36-L37</f>
        <v>1.33333333333333</v>
      </c>
      <c r="M38" s="16" t="n">
        <f aca="false">M36-M37</f>
        <v>2.66666666666666</v>
      </c>
      <c r="N38" s="16" t="n">
        <f aca="false">N36-N37</f>
        <v>4</v>
      </c>
      <c r="O38" s="16" t="n">
        <f aca="false">O36-O37</f>
        <v>5.33333333333333</v>
      </c>
    </row>
    <row r="39" customFormat="false" ht="15" hidden="false" customHeight="true" outlineLevel="0" collapsed="false">
      <c r="A39" s="3" t="s">
        <v>41</v>
      </c>
      <c r="B39" s="8"/>
      <c r="C39" s="3" t="str">
        <f aca="false">IF(C38&gt;0,"OVER","OK")</f>
        <v>OK</v>
      </c>
      <c r="D39" s="3" t="str">
        <f aca="false">IF(D38&gt;0,"OVER","OK")</f>
        <v>OK</v>
      </c>
      <c r="E39" s="3" t="str">
        <f aca="false">IF(E38&gt;0,"OVER","OK")</f>
        <v>OK</v>
      </c>
      <c r="F39" s="3" t="str">
        <f aca="false">IF(F38&gt;0,"OVER","OK")</f>
        <v>OK</v>
      </c>
      <c r="G39" s="3" t="str">
        <f aca="false">IF(G38&gt;0,"OVER","OK")</f>
        <v>OK</v>
      </c>
      <c r="H39" s="3" t="str">
        <f aca="false">IF(H38&gt;0,"OVER","OK")</f>
        <v>OK</v>
      </c>
      <c r="I39" s="3" t="str">
        <f aca="false">IF(I38&gt;0,"OVER","OK")</f>
        <v>OK</v>
      </c>
      <c r="J39" s="3" t="str">
        <f aca="false">IF(J38&gt;0,"OVER","OK")</f>
        <v>OK</v>
      </c>
      <c r="K39" s="3" t="str">
        <f aca="false">IF(K38&gt;0,"OVER","OK")</f>
        <v>OK</v>
      </c>
      <c r="L39" s="3" t="str">
        <f aca="false">IF(L38&gt;0,"OVER","OK")</f>
        <v>OVER</v>
      </c>
      <c r="M39" s="3" t="str">
        <f aca="false">IF(M38&gt;0,"OVER","OK")</f>
        <v>OVER</v>
      </c>
      <c r="N39" s="3" t="str">
        <f aca="false">IF(N38&gt;0,"OVER","OK")</f>
        <v>OVER</v>
      </c>
      <c r="O39" s="3" t="str">
        <f aca="false">IF(O38&gt;0,"OVER","OK")</f>
        <v>OVER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8" min="2" style="1" width="15"/>
  </cols>
  <sheetData>
    <row r="1" customFormat="false" ht="17.25" hidden="false" customHeight="true" outlineLevel="0" collapsed="false">
      <c r="A1" s="2" t="s">
        <v>144</v>
      </c>
      <c r="B1" s="8"/>
      <c r="C1" s="8"/>
      <c r="D1" s="8"/>
      <c r="E1" s="8"/>
      <c r="F1" s="8"/>
      <c r="G1" s="8"/>
      <c r="H1" s="8"/>
    </row>
    <row r="2" customFormat="false" ht="15" hidden="false" customHeight="true" outlineLevel="0" collapsed="false">
      <c r="A2" s="3" t="s">
        <v>145</v>
      </c>
      <c r="B2" s="8"/>
      <c r="C2" s="8"/>
      <c r="D2" s="8"/>
      <c r="E2" s="8"/>
      <c r="F2" s="8"/>
      <c r="G2" s="8"/>
      <c r="H2" s="8"/>
    </row>
    <row r="3" customFormat="false" ht="15" hidden="false" customHeight="true" outlineLevel="0" collapsed="false">
      <c r="A3" s="8"/>
      <c r="B3" s="8"/>
      <c r="C3" s="8"/>
      <c r="D3" s="8"/>
      <c r="E3" s="8"/>
      <c r="F3" s="8"/>
      <c r="G3" s="8"/>
      <c r="H3" s="8"/>
    </row>
    <row r="4" customFormat="false" ht="30" hidden="false" customHeight="true" outlineLevel="0" collapsed="false">
      <c r="A4" s="30" t="s">
        <v>146</v>
      </c>
      <c r="B4" s="30" t="s">
        <v>147</v>
      </c>
      <c r="C4" s="30" t="s">
        <v>148</v>
      </c>
      <c r="D4" s="30" t="s">
        <v>149</v>
      </c>
      <c r="E4" s="30" t="s">
        <v>150</v>
      </c>
      <c r="F4" s="30" t="s">
        <v>151</v>
      </c>
      <c r="G4" s="30" t="s">
        <v>152</v>
      </c>
      <c r="H4" s="30" t="s">
        <v>153</v>
      </c>
    </row>
    <row r="5" customFormat="false" ht="15" hidden="false" customHeight="true" outlineLevel="0" collapsed="false">
      <c r="A5" s="3" t="s">
        <v>154</v>
      </c>
      <c r="B5" s="11" t="n">
        <f aca="false">Inputs!B4</f>
        <v>10000</v>
      </c>
      <c r="C5" s="20" t="n">
        <v>1</v>
      </c>
      <c r="D5" s="12" t="n">
        <f aca="false">B5*C5</f>
        <v>10000</v>
      </c>
      <c r="E5" s="12" t="n">
        <f aca="false">D5-Inputs!$B$4</f>
        <v>0</v>
      </c>
      <c r="F5" s="12" t="n">
        <f aca="false">B5*MIN(1,C5)</f>
        <v>10000</v>
      </c>
      <c r="G5" s="12" t="n">
        <f aca="false">B5*MIN(2,C5)</f>
        <v>10000</v>
      </c>
      <c r="H5" s="12" t="n">
        <f aca="false">B5*MIN(3,C5)</f>
        <v>10000</v>
      </c>
    </row>
    <row r="6" customFormat="false" ht="15" hidden="false" customHeight="true" outlineLevel="0" collapsed="false">
      <c r="A6" s="3" t="s">
        <v>155</v>
      </c>
      <c r="B6" s="11" t="n">
        <f aca="false">Inputs!B5</f>
        <v>5250</v>
      </c>
      <c r="C6" s="14" t="n">
        <f aca="false">Inputs!B6</f>
        <v>2</v>
      </c>
      <c r="D6" s="12" t="n">
        <f aca="false">B6*C6</f>
        <v>10500</v>
      </c>
      <c r="E6" s="12" t="n">
        <f aca="false">D6-Inputs!$B$4</f>
        <v>500</v>
      </c>
      <c r="F6" s="12" t="n">
        <f aca="false">B6*MIN(1,C6)</f>
        <v>5250</v>
      </c>
      <c r="G6" s="12" t="n">
        <f aca="false">B6*MIN(2,C6)</f>
        <v>10500</v>
      </c>
      <c r="H6" s="12" t="n">
        <f aca="false">B6*MIN(3,C6)</f>
        <v>10500</v>
      </c>
    </row>
    <row r="7" customFormat="false" ht="15" hidden="false" customHeight="true" outlineLevel="0" collapsed="false">
      <c r="A7" s="3" t="s">
        <v>156</v>
      </c>
      <c r="B7" s="11" t="n">
        <f aca="false">Inputs!B7</f>
        <v>3600</v>
      </c>
      <c r="C7" s="14" t="n">
        <f aca="false">Inputs!B8</f>
        <v>3</v>
      </c>
      <c r="D7" s="12" t="n">
        <f aca="false">B7*C7</f>
        <v>10800</v>
      </c>
      <c r="E7" s="12" t="n">
        <f aca="false">D7-Inputs!$B$4</f>
        <v>800</v>
      </c>
      <c r="F7" s="12" t="n">
        <f aca="false">B7*MIN(1,C7)</f>
        <v>3600</v>
      </c>
      <c r="G7" s="12" t="n">
        <f aca="false">B7*MIN(2,C7)</f>
        <v>7200</v>
      </c>
      <c r="H7" s="12" t="n">
        <f aca="false">B7*MIN(3,C7)</f>
        <v>10800</v>
      </c>
    </row>
    <row r="8" customFormat="false" ht="15" hidden="false" customHeight="true" outlineLevel="0" collapsed="false">
      <c r="A8" s="3" t="s">
        <v>157</v>
      </c>
      <c r="B8" s="11" t="n">
        <f aca="false">Inputs!B10</f>
        <v>500</v>
      </c>
      <c r="C8" s="20" t="n">
        <v>1</v>
      </c>
      <c r="D8" s="12" t="n">
        <f aca="false">B8*C8</f>
        <v>500</v>
      </c>
      <c r="E8" s="12" t="n">
        <f aca="false">0</f>
        <v>0</v>
      </c>
      <c r="F8" s="12" t="n">
        <f aca="false">B8*MIN(1,C8)</f>
        <v>500</v>
      </c>
      <c r="G8" s="12" t="n">
        <f aca="false">B8*MIN(2,C8)</f>
        <v>500</v>
      </c>
      <c r="H8" s="12" t="n">
        <f aca="false">B8*MIN(3,C8)</f>
        <v>500</v>
      </c>
    </row>
    <row r="9" customFormat="false" ht="15" hidden="false" customHeight="true" outlineLevel="0" collapsed="false">
      <c r="A9" s="3" t="s">
        <v>158</v>
      </c>
      <c r="B9" s="11" t="n">
        <f aca="false">Inputs!B11</f>
        <v>1000</v>
      </c>
      <c r="C9" s="20" t="n">
        <v>1</v>
      </c>
      <c r="D9" s="12" t="n">
        <f aca="false">B9*C9</f>
        <v>1000</v>
      </c>
      <c r="E9" s="12" t="n">
        <f aca="false">0</f>
        <v>0</v>
      </c>
      <c r="F9" s="12" t="n">
        <f aca="false">B9*MIN(1,C9)</f>
        <v>1000</v>
      </c>
      <c r="G9" s="12" t="n">
        <f aca="false">B9*MIN(2,C9)</f>
        <v>1000</v>
      </c>
      <c r="H9" s="12" t="n">
        <f aca="false">B9*MIN(3,C9)</f>
        <v>1000</v>
      </c>
    </row>
    <row r="10" customFormat="false" ht="15" hidden="false" customHeight="true" outlineLevel="0" collapsed="false">
      <c r="A10" s="3" t="s">
        <v>159</v>
      </c>
      <c r="B10" s="11" t="n">
        <f aca="false">Inputs!B12</f>
        <v>3000</v>
      </c>
      <c r="C10" s="20" t="n">
        <v>1</v>
      </c>
      <c r="D10" s="12" t="n">
        <f aca="false">B10*C10</f>
        <v>3000</v>
      </c>
      <c r="E10" s="12" t="n">
        <f aca="false">0</f>
        <v>0</v>
      </c>
      <c r="F10" s="12" t="n">
        <f aca="false">B10*MIN(1,C10)</f>
        <v>3000</v>
      </c>
      <c r="G10" s="12" t="n">
        <f aca="false">B10*MIN(2,C10)</f>
        <v>3000</v>
      </c>
      <c r="H10" s="12" t="n">
        <f aca="false">B10*MIN(3,C10)</f>
        <v>3000</v>
      </c>
    </row>
    <row r="11" customFormat="false" ht="15" hidden="false" customHeight="true" outlineLevel="0" collapsed="false">
      <c r="A11" s="8"/>
      <c r="B11" s="8"/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4" t="s">
        <v>160</v>
      </c>
      <c r="B12" s="8"/>
      <c r="C12" s="8"/>
      <c r="D12" s="8"/>
      <c r="E12" s="8"/>
      <c r="F12" s="8"/>
      <c r="G12" s="8"/>
      <c r="H12" s="8"/>
    </row>
    <row r="13" customFormat="false" ht="15" hidden="false" customHeight="true" outlineLevel="0" collapsed="false">
      <c r="A13" s="3" t="s">
        <v>161</v>
      </c>
      <c r="B13" s="8"/>
      <c r="C13" s="8"/>
      <c r="D13" s="8"/>
      <c r="E13" s="8"/>
      <c r="F13" s="8"/>
      <c r="G13" s="8"/>
      <c r="H13" s="8"/>
    </row>
    <row r="14" customFormat="false" ht="15" hidden="false" customHeight="true" outlineLevel="0" collapsed="false">
      <c r="A14" s="3" t="s">
        <v>162</v>
      </c>
      <c r="B14" s="8"/>
      <c r="C14" s="8"/>
      <c r="D14" s="8"/>
      <c r="E14" s="8"/>
      <c r="F14" s="8"/>
      <c r="G14" s="8"/>
      <c r="H14" s="8"/>
    </row>
    <row r="15" customFormat="false" ht="15" hidden="false" customHeight="true" outlineLevel="0" collapsed="false">
      <c r="A15" s="3" t="s">
        <v>163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3" t="s">
        <v>164</v>
      </c>
      <c r="B16" s="8"/>
      <c r="C16" s="8"/>
      <c r="D16" s="8"/>
      <c r="E16" s="8"/>
      <c r="F16" s="8"/>
      <c r="G16" s="8"/>
      <c r="H16" s="8"/>
    </row>
    <row r="17" customFormat="false" ht="15" hidden="false" customHeight="true" outlineLevel="0" collapsed="false">
      <c r="A17" s="3" t="s">
        <v>165</v>
      </c>
      <c r="B17" s="8"/>
      <c r="C17" s="8"/>
      <c r="D17" s="8"/>
      <c r="E17" s="8"/>
      <c r="F17" s="8"/>
      <c r="G17" s="8"/>
      <c r="H17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3" min="2" style="1" width="13"/>
  </cols>
  <sheetData>
    <row r="1" customFormat="false" ht="17.25" hidden="false" customHeight="true" outlineLevel="0" collapsed="false">
      <c r="A1" s="2" t="s">
        <v>166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customFormat="false" ht="15" hidden="false" customHeight="true" outlineLevel="0" collapsed="false">
      <c r="A2" s="3" t="s">
        <v>167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customFormat="false" ht="15" hidden="false" customHeight="true" outlineLevel="0" collapsed="false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customFormat="false" ht="31.5" hidden="false" customHeight="true" outlineLevel="0" collapsed="false">
      <c r="A4" s="31" t="s">
        <v>111</v>
      </c>
      <c r="B4" s="31" t="s">
        <v>168</v>
      </c>
      <c r="C4" s="31" t="s">
        <v>169</v>
      </c>
      <c r="D4" s="31" t="s">
        <v>170</v>
      </c>
      <c r="E4" s="31" t="s">
        <v>171</v>
      </c>
      <c r="F4" s="31" t="s">
        <v>172</v>
      </c>
      <c r="G4" s="31" t="s">
        <v>173</v>
      </c>
      <c r="H4" s="31" t="s">
        <v>174</v>
      </c>
      <c r="I4" s="31" t="s">
        <v>175</v>
      </c>
      <c r="J4" s="31" t="s">
        <v>176</v>
      </c>
      <c r="K4" s="31" t="s">
        <v>177</v>
      </c>
      <c r="L4" s="31" t="s">
        <v>178</v>
      </c>
      <c r="M4" s="31" t="s">
        <v>179</v>
      </c>
    </row>
    <row r="5" customFormat="false" ht="15" hidden="false" customHeight="true" outlineLevel="0" collapsed="false">
      <c r="A5" s="32" t="s">
        <v>180</v>
      </c>
      <c r="B5" s="33" t="n">
        <v>26</v>
      </c>
      <c r="C5" s="33" t="n">
        <v>22</v>
      </c>
      <c r="D5" s="33" t="n">
        <v>6.5</v>
      </c>
      <c r="E5" s="33" t="n">
        <v>5</v>
      </c>
      <c r="F5" s="33" t="n">
        <v>1.3</v>
      </c>
      <c r="G5" s="33" t="n">
        <v>1</v>
      </c>
      <c r="H5" s="33" t="n">
        <v>0.3</v>
      </c>
      <c r="I5" s="33" t="n">
        <v>0</v>
      </c>
      <c r="J5" s="33" t="n">
        <v>10125</v>
      </c>
      <c r="K5" s="33" t="n">
        <v>0</v>
      </c>
      <c r="L5" s="33" t="s">
        <v>181</v>
      </c>
      <c r="M5" s="8"/>
    </row>
    <row r="6" customFormat="false" ht="15" hidden="false" customHeight="true" outlineLevel="0" collapsed="false">
      <c r="A6" s="3" t="n">
        <v>1</v>
      </c>
      <c r="B6" s="15" t="n">
        <f aca="false">Plan_13wk!C29</f>
        <v>0</v>
      </c>
      <c r="C6" s="34"/>
      <c r="D6" s="15" t="n">
        <f aca="false">Plan_13wk!C28</f>
        <v>0</v>
      </c>
      <c r="E6" s="34"/>
      <c r="F6" s="15" t="n">
        <f aca="false">Plan_13wk!C26</f>
        <v>0</v>
      </c>
      <c r="G6" s="34"/>
      <c r="H6" s="15" t="n">
        <f aca="false">Plan_13wk!C5</f>
        <v>0</v>
      </c>
      <c r="I6" s="34"/>
      <c r="J6" s="11" t="n">
        <f aca="false">Plan_13wk!C22</f>
        <v>0</v>
      </c>
      <c r="K6" s="18"/>
      <c r="L6" s="12" t="str">
        <f aca="false">IF(K6="","",K6-J6)</f>
        <v/>
      </c>
      <c r="M6" s="3" t="str">
        <f aca="false">IF(C6="","",IF(AND(C6&gt;=B6,K6&gt;=J6),"On track",IF(C6&lt;B6,"Raise outreach","Cash behind")))</f>
        <v/>
      </c>
    </row>
    <row r="7" customFormat="false" ht="15" hidden="false" customHeight="true" outlineLevel="0" collapsed="false">
      <c r="A7" s="3" t="n">
        <v>2</v>
      </c>
      <c r="B7" s="15" t="n">
        <f aca="false">Plan_13wk!D29</f>
        <v>0</v>
      </c>
      <c r="C7" s="34"/>
      <c r="D7" s="15" t="n">
        <f aca="false">Plan_13wk!D28</f>
        <v>0</v>
      </c>
      <c r="E7" s="34"/>
      <c r="F7" s="15" t="n">
        <f aca="false">Plan_13wk!D26</f>
        <v>0</v>
      </c>
      <c r="G7" s="34"/>
      <c r="H7" s="15" t="n">
        <f aca="false">Plan_13wk!D5</f>
        <v>0</v>
      </c>
      <c r="I7" s="34"/>
      <c r="J7" s="11" t="n">
        <f aca="false">Plan_13wk!D22</f>
        <v>0</v>
      </c>
      <c r="K7" s="18"/>
      <c r="L7" s="12" t="str">
        <f aca="false">IF(K7="","",K7-J7)</f>
        <v/>
      </c>
      <c r="M7" s="3" t="str">
        <f aca="false">IF(C7="","",IF(AND(C7&gt;=B7,K7&gt;=J7),"On track",IF(C7&lt;B7,"Raise outreach","Cash behind")))</f>
        <v/>
      </c>
    </row>
    <row r="8" customFormat="false" ht="15" hidden="false" customHeight="true" outlineLevel="0" collapsed="false">
      <c r="A8" s="3" t="n">
        <v>3</v>
      </c>
      <c r="B8" s="15" t="n">
        <f aca="false">Plan_13wk!E29</f>
        <v>0</v>
      </c>
      <c r="C8" s="34"/>
      <c r="D8" s="15" t="n">
        <f aca="false">Plan_13wk!E28</f>
        <v>0</v>
      </c>
      <c r="E8" s="34"/>
      <c r="F8" s="15" t="n">
        <f aca="false">Plan_13wk!E26</f>
        <v>0</v>
      </c>
      <c r="G8" s="34"/>
      <c r="H8" s="15" t="n">
        <f aca="false">Plan_13wk!E5</f>
        <v>0</v>
      </c>
      <c r="I8" s="34"/>
      <c r="J8" s="11" t="n">
        <f aca="false">Plan_13wk!E22</f>
        <v>0</v>
      </c>
      <c r="K8" s="18"/>
      <c r="L8" s="12" t="str">
        <f aca="false">IF(K8="","",K8-J8)</f>
        <v/>
      </c>
      <c r="M8" s="3" t="str">
        <f aca="false">IF(C8="","",IF(AND(C8&gt;=B8,K8&gt;=J8),"On track",IF(C8&lt;B8,"Raise outreach","Cash behind")))</f>
        <v/>
      </c>
    </row>
    <row r="9" customFormat="false" ht="15" hidden="false" customHeight="true" outlineLevel="0" collapsed="false">
      <c r="A9" s="3" t="n">
        <v>4</v>
      </c>
      <c r="B9" s="15" t="n">
        <f aca="false">Plan_13wk!F29</f>
        <v>33.3333333333333</v>
      </c>
      <c r="C9" s="34"/>
      <c r="D9" s="15" t="n">
        <f aca="false">Plan_13wk!F28</f>
        <v>8.33333333333333</v>
      </c>
      <c r="E9" s="34"/>
      <c r="F9" s="15" t="n">
        <f aca="false">Plan_13wk!F26</f>
        <v>4</v>
      </c>
      <c r="G9" s="34"/>
      <c r="H9" s="15" t="n">
        <f aca="false">Plan_13wk!F5</f>
        <v>1</v>
      </c>
      <c r="I9" s="34"/>
      <c r="J9" s="11" t="n">
        <f aca="false">Plan_13wk!F22</f>
        <v>7212.5</v>
      </c>
      <c r="K9" s="18"/>
      <c r="L9" s="12" t="str">
        <f aca="false">IF(K9="","",K9-J9)</f>
        <v/>
      </c>
      <c r="M9" s="3" t="str">
        <f aca="false">IF(C9="","",IF(AND(C9&gt;=B9,K9&gt;=J9),"On track",IF(C9&lt;B9,"Raise outreach","Cash behind")))</f>
        <v/>
      </c>
    </row>
    <row r="10" customFormat="false" ht="15" hidden="false" customHeight="true" outlineLevel="0" collapsed="false">
      <c r="A10" s="3" t="n">
        <v>5</v>
      </c>
      <c r="B10" s="15" t="n">
        <f aca="false">Plan_13wk!G29</f>
        <v>33.3333333333333</v>
      </c>
      <c r="C10" s="34"/>
      <c r="D10" s="15" t="n">
        <f aca="false">Plan_13wk!G28</f>
        <v>8.33333333333333</v>
      </c>
      <c r="E10" s="34"/>
      <c r="F10" s="15" t="n">
        <f aca="false">Plan_13wk!G26</f>
        <v>4</v>
      </c>
      <c r="G10" s="34"/>
      <c r="H10" s="15" t="n">
        <f aca="false">Plan_13wk!G5</f>
        <v>1</v>
      </c>
      <c r="I10" s="34"/>
      <c r="J10" s="11" t="n">
        <f aca="false">Plan_13wk!G22</f>
        <v>7212.5</v>
      </c>
      <c r="K10" s="18"/>
      <c r="L10" s="12" t="str">
        <f aca="false">IF(K10="","",K10-J10)</f>
        <v/>
      </c>
      <c r="M10" s="3" t="str">
        <f aca="false">IF(C10="","",IF(AND(C10&gt;=B10,K10&gt;=J10),"On track",IF(C10&lt;B10,"Raise outreach","Cash behind")))</f>
        <v/>
      </c>
    </row>
    <row r="11" customFormat="false" ht="15" hidden="false" customHeight="true" outlineLevel="0" collapsed="false">
      <c r="A11" s="3" t="n">
        <v>6</v>
      </c>
      <c r="B11" s="15" t="n">
        <f aca="false">Plan_13wk!H29</f>
        <v>33.3333333333333</v>
      </c>
      <c r="C11" s="34"/>
      <c r="D11" s="15" t="n">
        <f aca="false">Plan_13wk!H28</f>
        <v>8.33333333333333</v>
      </c>
      <c r="E11" s="34"/>
      <c r="F11" s="15" t="n">
        <f aca="false">Plan_13wk!H26</f>
        <v>4</v>
      </c>
      <c r="G11" s="34"/>
      <c r="H11" s="15" t="n">
        <f aca="false">Plan_13wk!H5</f>
        <v>1</v>
      </c>
      <c r="I11" s="34"/>
      <c r="J11" s="11" t="n">
        <f aca="false">Plan_13wk!H22</f>
        <v>7212.5</v>
      </c>
      <c r="K11" s="18"/>
      <c r="L11" s="12" t="str">
        <f aca="false">IF(K11="","",K11-J11)</f>
        <v/>
      </c>
      <c r="M11" s="3" t="str">
        <f aca="false">IF(C11="","",IF(AND(C11&gt;=B11,K11&gt;=J11),"On track",IF(C11&lt;B11,"Raise outreach","Cash behind")))</f>
        <v/>
      </c>
    </row>
    <row r="12" customFormat="false" ht="15" hidden="false" customHeight="true" outlineLevel="0" collapsed="false">
      <c r="A12" s="3" t="n">
        <v>7</v>
      </c>
      <c r="B12" s="15" t="n">
        <f aca="false">Plan_13wk!I29</f>
        <v>33.3333333333333</v>
      </c>
      <c r="C12" s="34"/>
      <c r="D12" s="15" t="n">
        <f aca="false">Plan_13wk!I28</f>
        <v>8.33333333333333</v>
      </c>
      <c r="E12" s="34"/>
      <c r="F12" s="15" t="n">
        <f aca="false">Plan_13wk!I26</f>
        <v>4</v>
      </c>
      <c r="G12" s="34"/>
      <c r="H12" s="15" t="n">
        <f aca="false">Plan_13wk!I5</f>
        <v>1</v>
      </c>
      <c r="I12" s="34"/>
      <c r="J12" s="11" t="n">
        <f aca="false">Plan_13wk!I22</f>
        <v>7212.5</v>
      </c>
      <c r="K12" s="18"/>
      <c r="L12" s="12" t="str">
        <f aca="false">IF(K12="","",K12-J12)</f>
        <v/>
      </c>
      <c r="M12" s="3" t="str">
        <f aca="false">IF(C12="","",IF(AND(C12&gt;=B12,K12&gt;=J12),"On track",IF(C12&lt;B12,"Raise outreach","Cash behind")))</f>
        <v/>
      </c>
    </row>
    <row r="13" customFormat="false" ht="15" hidden="false" customHeight="true" outlineLevel="0" collapsed="false">
      <c r="A13" s="3" t="n">
        <v>8</v>
      </c>
      <c r="B13" s="15" t="n">
        <f aca="false">Plan_13wk!J29</f>
        <v>33.3333333333333</v>
      </c>
      <c r="C13" s="34"/>
      <c r="D13" s="15" t="n">
        <f aca="false">Plan_13wk!J28</f>
        <v>8.33333333333333</v>
      </c>
      <c r="E13" s="34"/>
      <c r="F13" s="15" t="n">
        <f aca="false">Plan_13wk!J26</f>
        <v>4</v>
      </c>
      <c r="G13" s="34"/>
      <c r="H13" s="15" t="n">
        <f aca="false">Plan_13wk!J5</f>
        <v>1</v>
      </c>
      <c r="I13" s="34"/>
      <c r="J13" s="11" t="n">
        <f aca="false">Plan_13wk!J22</f>
        <v>9425</v>
      </c>
      <c r="K13" s="18"/>
      <c r="L13" s="12" t="str">
        <f aca="false">IF(K13="","",K13-J13)</f>
        <v/>
      </c>
      <c r="M13" s="3" t="str">
        <f aca="false">IF(C13="","",IF(AND(C13&gt;=B13,K13&gt;=J13),"On track",IF(C13&lt;B13,"Raise outreach","Cash behind")))</f>
        <v/>
      </c>
    </row>
    <row r="14" customFormat="false" ht="15" hidden="false" customHeight="true" outlineLevel="0" collapsed="false">
      <c r="A14" s="3" t="n">
        <v>9</v>
      </c>
      <c r="B14" s="15" t="n">
        <f aca="false">Plan_13wk!K29</f>
        <v>33.3333333333333</v>
      </c>
      <c r="C14" s="34"/>
      <c r="D14" s="15" t="n">
        <f aca="false">Plan_13wk!K28</f>
        <v>8.33333333333333</v>
      </c>
      <c r="E14" s="34"/>
      <c r="F14" s="15" t="n">
        <f aca="false">Plan_13wk!K26</f>
        <v>4</v>
      </c>
      <c r="G14" s="34"/>
      <c r="H14" s="15" t="n">
        <f aca="false">Plan_13wk!K5</f>
        <v>1</v>
      </c>
      <c r="I14" s="34"/>
      <c r="J14" s="11" t="n">
        <f aca="false">Plan_13wk!K22</f>
        <v>9425</v>
      </c>
      <c r="K14" s="18"/>
      <c r="L14" s="12" t="str">
        <f aca="false">IF(K14="","",K14-J14)</f>
        <v/>
      </c>
      <c r="M14" s="3" t="str">
        <f aca="false">IF(C14="","",IF(AND(C14&gt;=B14,K14&gt;=J14),"On track",IF(C14&lt;B14,"Raise outreach","Cash behind")))</f>
        <v/>
      </c>
    </row>
    <row r="15" customFormat="false" ht="15" hidden="false" customHeight="true" outlineLevel="0" collapsed="false">
      <c r="A15" s="3" t="n">
        <v>10</v>
      </c>
      <c r="B15" s="15" t="n">
        <f aca="false">Plan_13wk!L29</f>
        <v>33.3333333333333</v>
      </c>
      <c r="C15" s="34"/>
      <c r="D15" s="15" t="n">
        <f aca="false">Plan_13wk!L28</f>
        <v>8.33333333333333</v>
      </c>
      <c r="E15" s="34"/>
      <c r="F15" s="15" t="n">
        <f aca="false">Plan_13wk!L26</f>
        <v>4</v>
      </c>
      <c r="G15" s="34"/>
      <c r="H15" s="15" t="n">
        <f aca="false">Plan_13wk!L5</f>
        <v>1</v>
      </c>
      <c r="I15" s="34"/>
      <c r="J15" s="11" t="n">
        <f aca="false">Plan_13wk!L22</f>
        <v>9425</v>
      </c>
      <c r="K15" s="18"/>
      <c r="L15" s="12" t="str">
        <f aca="false">IF(K15="","",K15-J15)</f>
        <v/>
      </c>
      <c r="M15" s="3" t="str">
        <f aca="false">IF(C15="","",IF(AND(C15&gt;=B15,K15&gt;=J15),"On track",IF(C15&lt;B15,"Raise outreach","Cash behind")))</f>
        <v/>
      </c>
    </row>
    <row r="16" customFormat="false" ht="15" hidden="false" customHeight="true" outlineLevel="0" collapsed="false">
      <c r="A16" s="3" t="n">
        <v>11</v>
      </c>
      <c r="B16" s="15" t="n">
        <f aca="false">Plan_13wk!M29</f>
        <v>33.3333333333333</v>
      </c>
      <c r="C16" s="34"/>
      <c r="D16" s="15" t="n">
        <f aca="false">Plan_13wk!M28</f>
        <v>8.33333333333333</v>
      </c>
      <c r="E16" s="34"/>
      <c r="F16" s="15" t="n">
        <f aca="false">Plan_13wk!M26</f>
        <v>4</v>
      </c>
      <c r="G16" s="34"/>
      <c r="H16" s="15" t="n">
        <f aca="false">Plan_13wk!M5</f>
        <v>1</v>
      </c>
      <c r="I16" s="34"/>
      <c r="J16" s="11" t="n">
        <f aca="false">Plan_13wk!M22</f>
        <v>9425</v>
      </c>
      <c r="K16" s="18"/>
      <c r="L16" s="12" t="str">
        <f aca="false">IF(K16="","",K16-J16)</f>
        <v/>
      </c>
      <c r="M16" s="3" t="str">
        <f aca="false">IF(C16="","",IF(AND(C16&gt;=B16,K16&gt;=J16),"On track",IF(C16&lt;B16,"Raise outreach","Cash behind")))</f>
        <v/>
      </c>
    </row>
    <row r="17" customFormat="false" ht="15" hidden="false" customHeight="true" outlineLevel="0" collapsed="false">
      <c r="A17" s="3" t="n">
        <v>12</v>
      </c>
      <c r="B17" s="15" t="n">
        <f aca="false">Plan_13wk!N29</f>
        <v>33.3333333333333</v>
      </c>
      <c r="C17" s="34"/>
      <c r="D17" s="15" t="n">
        <f aca="false">Plan_13wk!N28</f>
        <v>8.33333333333333</v>
      </c>
      <c r="E17" s="34"/>
      <c r="F17" s="15" t="n">
        <f aca="false">Plan_13wk!N26</f>
        <v>4</v>
      </c>
      <c r="G17" s="34"/>
      <c r="H17" s="15" t="n">
        <f aca="false">Plan_13wk!N5</f>
        <v>1</v>
      </c>
      <c r="I17" s="34"/>
      <c r="J17" s="11" t="n">
        <f aca="false">Plan_13wk!N22</f>
        <v>10325</v>
      </c>
      <c r="K17" s="18"/>
      <c r="L17" s="12" t="str">
        <f aca="false">IF(K17="","",K17-J17)</f>
        <v/>
      </c>
      <c r="M17" s="3" t="str">
        <f aca="false">IF(C17="","",IF(AND(C17&gt;=B17,K17&gt;=J17),"On track",IF(C17&lt;B17,"Raise outreach","Cash behind")))</f>
        <v/>
      </c>
    </row>
    <row r="18" customFormat="false" ht="15" hidden="false" customHeight="true" outlineLevel="0" collapsed="false">
      <c r="A18" s="3" t="n">
        <v>13</v>
      </c>
      <c r="B18" s="15" t="n">
        <f aca="false">Plan_13wk!O29</f>
        <v>33.3333333333333</v>
      </c>
      <c r="C18" s="34"/>
      <c r="D18" s="15" t="n">
        <f aca="false">Plan_13wk!O28</f>
        <v>8.33333333333333</v>
      </c>
      <c r="E18" s="34"/>
      <c r="F18" s="15" t="n">
        <f aca="false">Plan_13wk!O26</f>
        <v>4</v>
      </c>
      <c r="G18" s="34"/>
      <c r="H18" s="15" t="n">
        <f aca="false">Plan_13wk!O5</f>
        <v>1</v>
      </c>
      <c r="I18" s="34"/>
      <c r="J18" s="11" t="n">
        <f aca="false">Plan_13wk!O22</f>
        <v>10325</v>
      </c>
      <c r="K18" s="18"/>
      <c r="L18" s="12" t="str">
        <f aca="false">IF(K18="","",K18-J18)</f>
        <v/>
      </c>
      <c r="M18" s="3" t="str">
        <f aca="false">IF(C18="","",IF(AND(C18&gt;=B18,K18&gt;=J18),"On track",IF(C18&lt;B18,"Raise outreach","Cash behind")))</f>
        <v/>
      </c>
    </row>
    <row r="19" customFormat="false" ht="15" hidden="false" customHeight="true" outlineLevel="0" collapsed="false">
      <c r="A19" s="4" t="s">
        <v>112</v>
      </c>
      <c r="B19" s="29" t="n">
        <f aca="false">SUM(B6:B18)</f>
        <v>333.333333333333</v>
      </c>
      <c r="C19" s="29" t="n">
        <f aca="false">SUM(C6:C18)</f>
        <v>0</v>
      </c>
      <c r="D19" s="29" t="n">
        <f aca="false">SUM(D6:D18)</f>
        <v>83.3333333333333</v>
      </c>
      <c r="E19" s="29" t="n">
        <f aca="false">SUM(E6:E18)</f>
        <v>0</v>
      </c>
      <c r="F19" s="29" t="n">
        <f aca="false">SUM(F6:F18)</f>
        <v>40</v>
      </c>
      <c r="G19" s="29" t="n">
        <f aca="false">SUM(G6:G18)</f>
        <v>0</v>
      </c>
      <c r="H19" s="29" t="n">
        <f aca="false">SUM(H6:H18)</f>
        <v>10</v>
      </c>
      <c r="I19" s="29" t="n">
        <f aca="false">SUM(I6:I18)</f>
        <v>0</v>
      </c>
      <c r="J19" s="28" t="n">
        <f aca="false">SUM(J6:J18)</f>
        <v>87200</v>
      </c>
      <c r="K19" s="28" t="n">
        <f aca="false">SUM(K6:K18)</f>
        <v>0</v>
      </c>
      <c r="L19" s="28" t="n">
        <f aca="false">SUM(L6:L18)</f>
        <v>0</v>
      </c>
      <c r="M1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2026-09-26T01:19:42Z</dcterms:created>
  <dc:creator>openpyxl</dc:creator>
  <dc:description/>
  <dc:language>en-US</dc:language>
  <cp:lastModifiedBy/>
  <dcterms:modified xsi:type="dcterms:W3CDTF">2026-09-26T01:53:55Z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