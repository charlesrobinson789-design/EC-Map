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tage1_UnitEcon" sheetId="2" state="visible" r:id="rId4"/>
    <sheet name="Stage1_Capacity" sheetId="3" state="visible" r:id="rId5"/>
    <sheet name="Stage2_UnitEcon" sheetId="4" state="visible" r:id="rId6"/>
    <sheet name="Stage2_Scale" sheetId="5" state="visible" r:id="rId7"/>
    <sheet name="Transition_Triggers" sheetId="6" state="visible" r:id="rId8"/>
    <sheet name="Summar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<sst xmlns="http://schemas.openxmlformats.org/spreadsheetml/2006/main" count="200" uniqueCount="180">
  <si>
    <t xml:space="preserve">Voice EC Map — Phased Business Model: Unit Economics Workbook</t>
  </si>
  <si>
    <t xml:space="preserve">Stage 1 (Consulting Wedge) -&gt; Stage 2 (Productized B2C)  |  Prepared 2026-07-25</t>
  </si>
  <si>
    <t xml:space="preserve">What's in this workbook</t>
  </si>
  <si>
    <t xml:space="preserve">Stage1_UnitEcon</t>
  </si>
  <si>
    <t xml:space="preserve">Per-offer economics for the consulting model you already launched (Paid Beta, Case Clarity Sprint, Provider Pilot). Figures sourced from VOICE_EC_MAP_MARKETING_CAMPAIGN.md.</t>
  </si>
  <si>
    <t xml:space="preserve">Stage1_Capacity</t>
  </si>
  <si>
    <t xml:space="preserve">How many clients your own hours can carry per month, plus a 12-month revenue ramp that plateaus at that ceiling — the quantitative case for Stage 2.</t>
  </si>
  <si>
    <t xml:space="preserve">Stage2_UnitEcon</t>
  </si>
  <si>
    <t xml:space="preserve">Unit economics for a self-serve B2C product built on the assessment. New territory — priced against real comps (Inflow, Shimmer) pulled 2026-07-25, everything else flagged as a hypothesis.</t>
  </si>
  <si>
    <t xml:space="preserve">Stage2_Scale</t>
  </si>
  <si>
    <t xml:space="preserve">What Stage 2 looks like at 100 / 500 / 2,000 / 10,000 new paying customers per month, and how long the dev build takes to pay back.</t>
  </si>
  <si>
    <t xml:space="preserve">Transition_Triggers</t>
  </si>
  <si>
    <t xml:space="preserve">The specific thresholds that tell you it's time to fund the Stage 2 build. Fill in 'Current Status' as you go.</t>
  </si>
  <si>
    <t xml:space="preserve">Summary</t>
  </si>
  <si>
    <t xml:space="preserve">Stage 1 vs Stage 2 side by side.</t>
  </si>
  <si>
    <t xml:space="preserve">Legend</t>
  </si>
  <si>
    <t xml:space="preserve">Sample</t>
  </si>
  <si>
    <t xml:space="preserve">Blue text = hardcoded input/assumption — safe to edit</t>
  </si>
  <si>
    <t xml:space="preserve">Black text = formula — recalculates automatically, do not hand-edit</t>
  </si>
  <si>
    <t xml:space="preserve">Green text = link to another tab</t>
  </si>
  <si>
    <t xml:space="preserve">Yellow fill = key assumption worth reviewing before you trust the output</t>
  </si>
  <si>
    <t xml:space="preserve">Source documents</t>
  </si>
  <si>
    <t xml:space="preserve">• VOICE_EC_MAP_MARKETING_CAMPAIGN.md — offer ladder, pricing, unit economics, revenue targets (2026-05-28)</t>
  </si>
  <si>
    <t xml:space="preserve">• VOICE_EC_MAP_WEB_MARKET_RESEARCH.md — TAM/SAM/SOM, competitor landscape, pricing research (2026-05-28)</t>
  </si>
  <si>
    <t xml:space="preserve">• DEVELOPER_HANDOFF.md — build phases and scope behind the Stage 2 dev-cost placeholder</t>
  </si>
  <si>
    <t xml:space="preserve">• EC_Map_Overview_TINT.pdf — product overview (2026-07)</t>
  </si>
  <si>
    <t xml:space="preserve">• Inflow (getinflow.io/faqs) and Shimmer (shimmer.care/cost) — Stage 2 pricing comps, pulled 2026-07-25</t>
  </si>
  <si>
    <t xml:space="preserve">Read before you build Stage 2</t>
  </si>
  <si>
    <t xml:space="preserve">Stage 1's compliance posture rests on the founder reviewing every report before a client sees it. A true self-serve product removes that gate. Before committing engineering spend to Stage 2, run a regulatory review of the automated-report boundary (FDA SaMD exposure, FTC health-claim risk at scale, scope-of-practice questions for a PMHNP-branded consumer product with no clinician in the loop).</t>
  </si>
  <si>
    <t xml:space="preserve">Stage 1 — Consulting Wedge: Unit Economics</t>
  </si>
  <si>
    <t xml:space="preserve">Source: VOICE_EC_MAP_MARKETING_CAMPAIGN.md, 'Unit Economics' section (2026-05-28). Blue = doc-sourced input.</t>
  </si>
  <si>
    <t xml:space="preserve">Offer</t>
  </si>
  <si>
    <t xml:space="preserve">Price ($)</t>
  </si>
  <si>
    <t xml:space="preserve">Hours/Client
(Low)</t>
  </si>
  <si>
    <t xml:space="preserve">Hours/Client
(High)</t>
  </si>
  <si>
    <t xml:space="preserve">Hours/Client
(Mid)</t>
  </si>
  <si>
    <t xml:space="preserve">Effective
$/Hour</t>
  </si>
  <si>
    <t xml:space="preserve">COGS/Overhead
per Client ($)</t>
  </si>
  <si>
    <t xml:space="preserve">Gross Margin
($)</t>
  </si>
  <si>
    <t xml:space="preserve">Gross Margin
(%)</t>
  </si>
  <si>
    <t xml:space="preserve">Target CAC
Ceiling ($)</t>
  </si>
  <si>
    <t xml:space="preserve">Contribution
after CAC ($)</t>
  </si>
  <si>
    <t xml:space="preserve">Contribution
after CAC (%)</t>
  </si>
  <si>
    <t xml:space="preserve">Paid Beta</t>
  </si>
  <si>
    <t xml:space="preserve">Case Clarity Sprint</t>
  </si>
  <si>
    <t xml:space="preserve">Provider Pilot (Setup Fee)</t>
  </si>
  <si>
    <t xml:space="preserve">Provider Pilot revenue shown is the $1,500 setup fee only — the source doc references an additional, unquantified 'per-client fee' on top of setup. Treat this row as a floor.</t>
  </si>
  <si>
    <t xml:space="preserve">COGS/Overhead per client (col G) is a planning allocation of the $140-$1,000/mo bootstrap-to-focused tool budget (source doc 'Budget Scenarios') across practical monthly capacity. Edit to your actuals.</t>
  </si>
  <si>
    <t xml:space="preserve">Stage 1 — Capacity &amp; 12-Month Revenue Ramp</t>
  </si>
  <si>
    <t xml:space="preserve">Months 1-3 match the campaign doc's stated scenarios exactly. Months 4-12 grow client counts at the rate below, capped at the practical-capacity ceiling.</t>
  </si>
  <si>
    <t xml:space="preserve">Founder service-delivery hours available per month</t>
  </si>
  <si>
    <t xml:space="preserve">Hours you personally spend delivering intake review + reports + calls, not marketing/ops time.</t>
  </si>
  <si>
    <t xml:space="preserve">Practical Clients/Month</t>
  </si>
  <si>
    <t xml:space="preserve">Price ($, linked)</t>
  </si>
  <si>
    <t xml:space="preserve">Hours/Client
(Mid, linked)</t>
  </si>
  <si>
    <t xml:space="preserve">Hours Required</t>
  </si>
  <si>
    <t xml:space="preserve">Revenue ($)</t>
  </si>
  <si>
    <t xml:space="preserve">Total</t>
  </si>
  <si>
    <t xml:space="preserve">Hours remaining</t>
  </si>
  <si>
    <t xml:space="preserve">Capacity utilization</t>
  </si>
  <si>
    <t xml:space="preserve">12-Month Revenue Ramp</t>
  </si>
  <si>
    <t xml:space="preserve">Monthly growth rate (months 4-12), applied to client counts, capped at capacity above:</t>
  </si>
  <si>
    <t xml:space="preserve">Month</t>
  </si>
  <si>
    <t xml:space="preserve">Beta Clients</t>
  </si>
  <si>
    <t xml:space="preserve">Sprint Clients</t>
  </si>
  <si>
    <t xml:space="preserve">Pilot Clients</t>
  </si>
  <si>
    <t xml:space="preserve">Monthly Revenue ($)</t>
  </si>
  <si>
    <t xml:space="preserve">Cumulative Revenue ($)</t>
  </si>
  <si>
    <t xml:space="preserve">Month 1</t>
  </si>
  <si>
    <t xml:space="preserve">Month 2</t>
  </si>
  <si>
    <t xml:space="preserve">Month 3</t>
  </si>
  <si>
    <t xml:space="preserve">Month 4</t>
  </si>
  <si>
    <t xml:space="preserve">Month 5</t>
  </si>
  <si>
    <t xml:space="preserve">Month 6</t>
  </si>
  <si>
    <t xml:space="preserve">Month 7</t>
  </si>
  <si>
    <t xml:space="preserve">Month 8</t>
  </si>
  <si>
    <t xml:space="preserve">Month 9</t>
  </si>
  <si>
    <t xml:space="preserve">Month 10</t>
  </si>
  <si>
    <t xml:space="preserve">Month 11</t>
  </si>
  <si>
    <t xml:space="preserve">Month 12</t>
  </si>
  <si>
    <t xml:space="preserve">Year-1 total</t>
  </si>
  <si>
    <t xml:space="preserve">Sanity check vs. source SOM range</t>
  </si>
  <si>
    <t xml:space="preserve">The ramp plateaus once client counts hit the practical-capacity ceiling (rows 7-9) — that ceiling is the quantitative case for Stage 2.</t>
  </si>
  <si>
    <t xml:space="preserve">Stage 2 — Productized B2C: Unit Economics (Planning Hypothesis)</t>
  </si>
  <si>
    <t xml:space="preserve">New territory — not in existing docs. Comps sourced 2026-07-25 (Inflow, Shimmer); everything else is a placeholder to validate.</t>
  </si>
  <si>
    <t xml:space="preserve">Assumptions</t>
  </si>
  <si>
    <t xml:space="preserve">One-time report price ($)</t>
  </si>
  <si>
    <t xml:space="preserve">Hypothesis, range $79-$149 — no human review, so priced well below Stage 1's $500.</t>
  </si>
  <si>
    <t xml:space="preserve">Subscription price ($/month)</t>
  </si>
  <si>
    <t xml:space="preserve">Hypothesis, range $14.99-$24.99 — bounded by Inflow $47.99/mo (self-serve app, no clinical spine) and Shimmer ~$260/mo (human coaching).</t>
  </si>
  <si>
    <t xml:space="preserve">Variable cost per active user/month ($) — hosting + AI inference + support</t>
  </si>
  <si>
    <t xml:space="preserve">NOT sourced. Placeholder — confirm with vendor quotes once the voice pipeline is scoped.</t>
  </si>
  <si>
    <t xml:space="preserve">Payment processing fee (%)</t>
  </si>
  <si>
    <t xml:space="preserve">Typical card-processing rate — confirm with processor.</t>
  </si>
  <si>
    <t xml:space="preserve">Payment processing fixed fee ($)</t>
  </si>
  <si>
    <t xml:space="preserve">Typical card-processing fixed fee — confirm with processor.</t>
  </si>
  <si>
    <t xml:space="preserve">Monthly subscription churn (%)</t>
  </si>
  <si>
    <t xml:space="preserve">Planning estimate; consumer wellness-app churn often runs 5-12%/mo. Validate.</t>
  </si>
  <si>
    <t xml:space="preserve">Blended CAC per new paying customer ($)</t>
  </si>
  <si>
    <t xml:space="preserve">Hypothesis, range $15-$40. Refine per channel once paid tests run.</t>
  </si>
  <si>
    <t xml:space="preserve">Metric</t>
  </si>
  <si>
    <t xml:space="preserve">One-Time Report</t>
  </si>
  <si>
    <t xml:space="preserve">Subscription (per user)</t>
  </si>
  <si>
    <t xml:space="preserve">Payment processing fee ($)</t>
  </si>
  <si>
    <t xml:space="preserve">Variable cost ($)</t>
  </si>
  <si>
    <t xml:space="preserve">Gross margin ($)</t>
  </si>
  <si>
    <t xml:space="preserve">Gross margin (%)</t>
  </si>
  <si>
    <t xml:space="preserve">CAC ($)</t>
  </si>
  <si>
    <t xml:space="preserve">LTV ($) — subscription only</t>
  </si>
  <si>
    <t xml:space="preserve">LTV : CAC ratio</t>
  </si>
  <si>
    <t xml:space="preserve">Contribution after CAC, per unit ($) — one-time only</t>
  </si>
  <si>
    <t xml:space="preserve">CAC payback period (months) — subscription only</t>
  </si>
  <si>
    <t xml:space="preserve">Bounding comps (sourced 2026-07-25)</t>
  </si>
  <si>
    <t xml:space="preserve">• Inflow — self-serve ADHD app, CBT-based daily exercises, no clinical spine, no human review: $47.99/month or $199/year. Source: getinflow.io/faqs</t>
  </si>
  <si>
    <t xml:space="preserve">• Shimmer — human 1:1 ADHD coaching, weekly 30-min sessions + extras: $240 every 4 weeks (~$260/month). Source: shimmer.care/cost</t>
  </si>
  <si>
    <t xml:space="preserve">• EC Map Stage 2 read: more structured than Inflow (deterministic scoring spine, coach-packet-style report) but with no human review, so it should price below Stage 1's $500 human-reviewed product and below Inflow's pure self-help subscription until the tracking value is proven.</t>
  </si>
  <si>
    <t xml:space="preserve">Stage 2 — Scale Scenarios &amp; Build-Cost Payback</t>
  </si>
  <si>
    <t xml:space="preserve">Illustrative only. Flex the two assumptions below; everything underneath recalculates.</t>
  </si>
  <si>
    <t xml:space="preserve">Dev build cost estimate ($) — PLACEHOLDER</t>
  </si>
  <si>
    <t xml:space="preserve">Replace with an actual developer quote — see DEVELOPER_HANDOFF.md 'Recommended Developer Path' Phase 1-3 (typed framework, auth, encrypted persistence, coach dashboard, voice pipeline). Plausible range $30k-$100k+ depending on scope.</t>
  </si>
  <si>
    <t xml:space="preserve">Share of new paying customers choosing subscription (vs. one-time report)</t>
  </si>
  <si>
    <t xml:space="preserve">100/mo</t>
  </si>
  <si>
    <t xml:space="preserve">500/mo</t>
  </si>
  <si>
    <t xml:space="preserve">2,000/mo</t>
  </si>
  <si>
    <t xml:space="preserve">10,000/mo</t>
  </si>
  <si>
    <t xml:space="preserve">New paying customers acquired/month</t>
  </si>
  <si>
    <t xml:space="preserve">→ One-time report buyers</t>
  </si>
  <si>
    <t xml:space="preserve">→ New subscribers</t>
  </si>
  <si>
    <t xml:space="preserve">Steady-state subscriber base (new subs / churn)</t>
  </si>
  <si>
    <t xml:space="preserve">Monthly one-time revenue ($)</t>
  </si>
  <si>
    <t xml:space="preserve">Monthly subscription revenue ($, steady state)</t>
  </si>
  <si>
    <t xml:space="preserve">Total monthly revenue ($)</t>
  </si>
  <si>
    <t xml:space="preserve">Total monthly variable cost ($)</t>
  </si>
  <si>
    <t xml:space="preserve">Gross margin ($, before CAC)</t>
  </si>
  <si>
    <t xml:space="preserve">Monthly CAC spend ($)</t>
  </si>
  <si>
    <t xml:space="preserve">Monthly contribution after CAC ($)</t>
  </si>
  <si>
    <t xml:space="preserve">Build-cost payback (months)</t>
  </si>
  <si>
    <t xml:space="preserve">Subscriber base assumes steady state (monthly new subscribers = monthly churned subscribers). Real ramp-up will take longer to reach these revenue figures in the early months.</t>
  </si>
  <si>
    <t xml:space="preserve">Transition Triggers — When To Fund Stage 2</t>
  </si>
  <si>
    <t xml:space="preserve">Fill in 'Current Status' as real numbers come in. This tab is meant to be revisited, not answered once.</t>
  </si>
  <si>
    <t xml:space="preserve">Trigger</t>
  </si>
  <si>
    <t xml:space="preserve">Target</t>
  </si>
  <si>
    <t xml:space="preserve">Direction</t>
  </si>
  <si>
    <t xml:space="preserve">Current Status
(fill in)</t>
  </si>
  <si>
    <t xml:space="preserve">Met?</t>
  </si>
  <si>
    <t xml:space="preserve">Proof of demand</t>
  </si>
  <si>
    <t xml:space="preserve">Cumulative Beta + Sprint + Pilot clients completed</t>
  </si>
  <si>
    <t xml:space="preserve">&gt;=</t>
  </si>
  <si>
    <t xml:space="preserve">Delivery quality</t>
  </si>
  <si>
    <t xml:space="preserve">"Next conversation clarity" client rating (source: campaign doc KPI dashboard)</t>
  </si>
  <si>
    <t xml:space="preserve">Refund rate</t>
  </si>
  <si>
    <t xml:space="preserve">&lt;=</t>
  </si>
  <si>
    <t xml:space="preserve">Capacity ceiling reached</t>
  </si>
  <si>
    <t xml:space="preserve">Consecutive months turning away qualified leads at full capacity</t>
  </si>
  <si>
    <t xml:space="preserve">Organic pull</t>
  </si>
  <si>
    <t xml:space="preserve">Share of new leads arriving without founder outreach</t>
  </si>
  <si>
    <t xml:space="preserve">Price/format objection signal</t>
  </si>
  <si>
    <t xml:space="preserve">Share of fit-call leads citing "want to try it myself first" or price friction</t>
  </si>
  <si>
    <t xml:space="preserve">Compliance groundwork</t>
  </si>
  <si>
    <t xml:space="preserve">Security threat model + regulatory review of the no-human-review boundary complete (1 = yes)</t>
  </si>
  <si>
    <t xml:space="preserve">Funding secured</t>
  </si>
  <si>
    <t xml:space="preserve">Stage 1 profit reserve or outside capital covers the dev build quote (1 = yes)</t>
  </si>
  <si>
    <t xml:space="preserve">Triggers met</t>
  </si>
  <si>
    <t xml:space="preserve">Recommendation</t>
  </si>
  <si>
    <t xml:space="preserve">Summary Dashboard — Stage 1 vs Stage 2</t>
  </si>
  <si>
    <t xml:space="preserve">Stage 2 shown at the 2,000 new-paying-customers/month scenario (Stage2_Scale col D).</t>
  </si>
  <si>
    <t xml:space="preserve">Stage 1 — Consulting Wedge</t>
  </si>
  <si>
    <t xml:space="preserve">Stage 2 — Productized B2C</t>
  </si>
  <si>
    <t xml:space="preserve">Monthly revenue (practical ceiling / illustrative)</t>
  </si>
  <si>
    <t xml:space="preserve">CAC</t>
  </si>
  <si>
    <t xml:space="preserve">$175-$500 depending on offer (source: campaign doc)</t>
  </si>
  <si>
    <t xml:space="preserve">Founder hours per $1,000 revenue</t>
  </si>
  <si>
    <t xml:space="preserve">~0 (automated, no founder hours/unit)</t>
  </si>
  <si>
    <t xml:space="preserve">Time to first revenue</t>
  </si>
  <si>
    <t xml:space="preserve">Immediate — offer is already live</t>
  </si>
  <si>
    <t xml:space="preserve">6-12+ months (build required, see DEVELOPER_HANDOFF Phase 1-3)</t>
  </si>
  <si>
    <t xml:space="preserve">Compliance posture</t>
  </si>
  <si>
    <t xml:space="preserve">Lower risk — every report human-reviewed before delivery (founder review gate)</t>
  </si>
  <si>
    <t xml:space="preserve">Materially different — no human-review gate by default. Run the health-adjacent-regulatory-dossier review before build.</t>
  </si>
  <si>
    <t xml:space="preserve">Read together with Transition_Triggers: Stage 1 funds itself and proves the offer today; Stage 2 removes the founder-hours ceiling but needs a real dev quote, a subscription/one-time price test, and a regulatory review of the no-human-review boundary before it's a launch decision rather than a hypothesis.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</si>
</sst>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;&quot;($&quot;#,##0\);\-"/>
    <numFmt numFmtId="166" formatCode="0.0"/>
    <numFmt numFmtId="167" formatCode="\$#,##0.00;&quot;($&quot;#,##0.00\);\-"/>
    <numFmt numFmtId="168" formatCode="0.0%"/>
    <numFmt numFmtId="169" formatCode="0.00\x"/>
    <numFmt numFmtId="170" formatCode="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6" min="4" style="0" width="18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</row>
    <row r="5" customFormat="false" ht="30" hidden="false" customHeight="true" outlineLevel="0" collapsed="false">
      <c r="A5" s="4" t="s">
        <v>3</v>
      </c>
      <c r="B5" s="5" t="s">
        <v>4</v>
      </c>
      <c r="C5" s="5"/>
      <c r="D5" s="5"/>
      <c r="E5" s="5"/>
      <c r="F5" s="5"/>
    </row>
    <row r="6" customFormat="false" ht="30" hidden="false" customHeight="true" outlineLevel="0" collapsed="false">
      <c r="A6" s="4" t="s">
        <v>5</v>
      </c>
      <c r="B6" s="5" t="s">
        <v>6</v>
      </c>
      <c r="C6" s="5"/>
      <c r="D6" s="5"/>
      <c r="E6" s="5"/>
      <c r="F6" s="5"/>
    </row>
    <row r="7" customFormat="false" ht="30" hidden="false" customHeight="true" outlineLevel="0" collapsed="false">
      <c r="A7" s="4" t="s">
        <v>7</v>
      </c>
      <c r="B7" s="5" t="s">
        <v>8</v>
      </c>
      <c r="C7" s="5"/>
      <c r="D7" s="5"/>
      <c r="E7" s="5"/>
      <c r="F7" s="5"/>
    </row>
    <row r="8" customFormat="false" ht="30" hidden="false" customHeight="true" outlineLevel="0" collapsed="false">
      <c r="A8" s="4" t="s">
        <v>9</v>
      </c>
      <c r="B8" s="5" t="s">
        <v>10</v>
      </c>
      <c r="C8" s="5"/>
      <c r="D8" s="5"/>
      <c r="E8" s="5"/>
      <c r="F8" s="5"/>
    </row>
    <row r="9" customFormat="false" ht="30" hidden="false" customHeight="true" outlineLevel="0" collapsed="false">
      <c r="A9" s="4" t="s">
        <v>11</v>
      </c>
      <c r="B9" s="5" t="s">
        <v>12</v>
      </c>
      <c r="C9" s="5"/>
      <c r="D9" s="5"/>
      <c r="E9" s="5"/>
      <c r="F9" s="5"/>
    </row>
    <row r="10" customFormat="false" ht="30" hidden="false" customHeight="true" outlineLevel="0" collapsed="false">
      <c r="A10" s="4" t="s">
        <v>13</v>
      </c>
      <c r="B10" s="5" t="s">
        <v>14</v>
      </c>
      <c r="C10" s="5"/>
      <c r="D10" s="5"/>
      <c r="E10" s="5"/>
      <c r="F10" s="5"/>
    </row>
    <row r="12" customFormat="false" ht="15" hidden="false" customHeight="false" outlineLevel="0" collapsed="false">
      <c r="A12" s="3" t="s">
        <v>15</v>
      </c>
    </row>
    <row r="13" customFormat="false" ht="15" hidden="false" customHeight="false" outlineLevel="0" collapsed="false">
      <c r="A13" s="6" t="s">
        <v>16</v>
      </c>
      <c r="B13" s="7" t="s">
        <v>17</v>
      </c>
      <c r="C13" s="7"/>
      <c r="D13" s="7"/>
      <c r="E13" s="7"/>
      <c r="F13" s="7"/>
    </row>
    <row r="14" customFormat="false" ht="15" hidden="false" customHeight="false" outlineLevel="0" collapsed="false">
      <c r="A14" s="8" t="s">
        <v>16</v>
      </c>
      <c r="B14" s="7" t="s">
        <v>18</v>
      </c>
      <c r="C14" s="7"/>
      <c r="D14" s="7"/>
      <c r="E14" s="7"/>
      <c r="F14" s="7"/>
    </row>
    <row r="15" customFormat="false" ht="15" hidden="false" customHeight="false" outlineLevel="0" collapsed="false">
      <c r="A15" s="9" t="s">
        <v>16</v>
      </c>
      <c r="B15" s="7" t="s">
        <v>19</v>
      </c>
      <c r="C15" s="7"/>
      <c r="D15" s="7"/>
      <c r="E15" s="7"/>
      <c r="F15" s="7"/>
    </row>
    <row r="16" customFormat="false" ht="15" hidden="false" customHeight="false" outlineLevel="0" collapsed="false">
      <c r="A16" s="10" t="s">
        <v>16</v>
      </c>
      <c r="B16" s="7" t="s">
        <v>20</v>
      </c>
      <c r="C16" s="7"/>
      <c r="D16" s="7"/>
      <c r="E16" s="7"/>
      <c r="F16" s="7"/>
    </row>
    <row r="18" customFormat="false" ht="15" hidden="false" customHeight="false" outlineLevel="0" collapsed="false">
      <c r="A18" s="3" t="s">
        <v>21</v>
      </c>
    </row>
    <row r="19" customFormat="false" ht="15" hidden="false" customHeight="false" outlineLevel="0" collapsed="false">
      <c r="A19" s="7" t="s">
        <v>22</v>
      </c>
      <c r="B19" s="7"/>
      <c r="C19" s="7"/>
      <c r="D19" s="7"/>
      <c r="E19" s="7"/>
      <c r="F19" s="7"/>
    </row>
    <row r="20" customFormat="false" ht="15" hidden="false" customHeight="false" outlineLevel="0" collapsed="false">
      <c r="A20" s="7" t="s">
        <v>23</v>
      </c>
      <c r="B20" s="7"/>
      <c r="C20" s="7"/>
      <c r="D20" s="7"/>
      <c r="E20" s="7"/>
      <c r="F20" s="7"/>
    </row>
    <row r="21" customFormat="false" ht="15" hidden="false" customHeight="false" outlineLevel="0" collapsed="false">
      <c r="A21" s="7" t="s">
        <v>24</v>
      </c>
      <c r="B21" s="7"/>
      <c r="C21" s="7"/>
      <c r="D21" s="7"/>
      <c r="E21" s="7"/>
      <c r="F21" s="7"/>
    </row>
    <row r="22" customFormat="false" ht="15" hidden="false" customHeight="false" outlineLevel="0" collapsed="false">
      <c r="A22" s="7" t="s">
        <v>25</v>
      </c>
      <c r="B22" s="7"/>
      <c r="C22" s="7"/>
      <c r="D22" s="7"/>
      <c r="E22" s="7"/>
      <c r="F22" s="7"/>
    </row>
    <row r="23" customFormat="false" ht="15" hidden="false" customHeight="false" outlineLevel="0" collapsed="false">
      <c r="A23" s="7" t="s">
        <v>26</v>
      </c>
      <c r="B23" s="7"/>
      <c r="C23" s="7"/>
      <c r="D23" s="7"/>
      <c r="E23" s="7"/>
      <c r="F23" s="7"/>
    </row>
    <row r="25" customFormat="false" ht="15" hidden="false" customHeight="false" outlineLevel="0" collapsed="false">
      <c r="A25" s="11" t="s">
        <v>27</v>
      </c>
    </row>
    <row r="26" customFormat="false" ht="60" hidden="false" customHeight="true" outlineLevel="0" collapsed="false">
      <c r="A26" s="5" t="s">
        <v>28</v>
      </c>
      <c r="B26" s="5"/>
      <c r="C26" s="5"/>
      <c r="D26" s="5"/>
      <c r="E26" s="5"/>
      <c r="F26" s="5"/>
    </row>
    <row r="27" customFormat="false" ht="15" hidden="false" customHeight="false" outlineLevel="0" collapsed="false">
      <c r="A27" s="5"/>
      <c r="B27" s="5"/>
      <c r="C27" s="5"/>
      <c r="D27" s="5"/>
      <c r="E27" s="5"/>
      <c r="F27" s="5"/>
    </row>
    <row r="28" customFormat="false" ht="15" hidden="false" customHeight="false" outlineLevel="0" collapsed="false">
      <c r="A28" s="5"/>
      <c r="B28" s="5"/>
      <c r="C28" s="5"/>
      <c r="D28" s="5"/>
      <c r="E28" s="5"/>
      <c r="F28" s="5"/>
    </row>
  </sheetData>
  <mergeCells count="18">
    <mergeCell ref="A1:F1"/>
    <mergeCell ref="A2:F2"/>
    <mergeCell ref="B5:F5"/>
    <mergeCell ref="B6:F6"/>
    <mergeCell ref="B7:F7"/>
    <mergeCell ref="B8:F8"/>
    <mergeCell ref="B9:F9"/>
    <mergeCell ref="B10:F10"/>
    <mergeCell ref="B13:F13"/>
    <mergeCell ref="B14:F14"/>
    <mergeCell ref="B15:F15"/>
    <mergeCell ref="B16:F16"/>
    <mergeCell ref="A19:F19"/>
    <mergeCell ref="A20:F20"/>
    <mergeCell ref="A21:F21"/>
    <mergeCell ref="A22:F22"/>
    <mergeCell ref="A23:F23"/>
    <mergeCell ref="A26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6" min="2" style="0" width="11"/>
    <col collapsed="false" customWidth="true" hidden="false" outlineLevel="0" max="7" min="7" style="0" width="14"/>
    <col collapsed="false" customWidth="true" hidden="false" outlineLevel="0" max="10" min="8" style="0" width="12"/>
    <col collapsed="false" customWidth="true" hidden="false" outlineLevel="0" max="12" min="11" style="0" width="13"/>
  </cols>
  <sheetData>
    <row r="1" customFormat="false" ht="17.35" hidden="false" customHeight="false" outlineLevel="0" collapsed="false">
      <c r="A1" s="1" t="s">
        <v>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30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1.5" hidden="false" customHeight="true" outlineLevel="0" collapsed="false">
      <c r="A4" s="12" t="s">
        <v>31</v>
      </c>
      <c r="B4" s="12" t="s">
        <v>32</v>
      </c>
      <c r="C4" s="12" t="s">
        <v>33</v>
      </c>
      <c r="D4" s="12" t="s">
        <v>34</v>
      </c>
      <c r="E4" s="12" t="s">
        <v>35</v>
      </c>
      <c r="F4" s="12" t="s">
        <v>36</v>
      </c>
      <c r="G4" s="12" t="s">
        <v>37</v>
      </c>
      <c r="H4" s="12" t="s">
        <v>38</v>
      </c>
      <c r="I4" s="12" t="s">
        <v>39</v>
      </c>
      <c r="J4" s="12" t="s">
        <v>40</v>
      </c>
      <c r="K4" s="12" t="s">
        <v>41</v>
      </c>
      <c r="L4" s="12" t="s">
        <v>42</v>
      </c>
    </row>
    <row r="5" customFormat="false" ht="15" hidden="false" customHeight="false" outlineLevel="0" collapsed="false">
      <c r="A5" s="13" t="s">
        <v>43</v>
      </c>
      <c r="B5" s="14" t="n">
        <v>500</v>
      </c>
      <c r="C5" s="15" t="n">
        <v>2</v>
      </c>
      <c r="D5" s="15" t="n">
        <v>3.5</v>
      </c>
      <c r="E5" s="16" t="n">
        <f aca="false">AVERAGE(C5:D5)</f>
        <v>2.75</v>
      </c>
      <c r="F5" s="17" t="n">
        <f aca="false">B5/E5</f>
        <v>181.818181818182</v>
      </c>
      <c r="G5" s="14" t="n">
        <v>45</v>
      </c>
      <c r="H5" s="18" t="n">
        <f aca="false">B5-G5</f>
        <v>455</v>
      </c>
      <c r="I5" s="19" t="n">
        <f aca="false">H5/B5</f>
        <v>0.91</v>
      </c>
      <c r="J5" s="14" t="n">
        <v>175</v>
      </c>
      <c r="K5" s="18" t="n">
        <f aca="false">H5-J5</f>
        <v>280</v>
      </c>
      <c r="L5" s="19" t="n">
        <f aca="false">K5/B5</f>
        <v>0.56</v>
      </c>
    </row>
    <row r="6" customFormat="false" ht="15" hidden="false" customHeight="false" outlineLevel="0" collapsed="false">
      <c r="A6" s="13" t="s">
        <v>44</v>
      </c>
      <c r="B6" s="14" t="n">
        <v>1000</v>
      </c>
      <c r="C6" s="15" t="n">
        <v>4</v>
      </c>
      <c r="D6" s="15" t="n">
        <v>6</v>
      </c>
      <c r="E6" s="16" t="n">
        <f aca="false">AVERAGE(C6:D6)</f>
        <v>5</v>
      </c>
      <c r="F6" s="17" t="n">
        <f aca="false">B6/E6</f>
        <v>200</v>
      </c>
      <c r="G6" s="14" t="n">
        <v>75</v>
      </c>
      <c r="H6" s="18" t="n">
        <f aca="false">B6-G6</f>
        <v>925</v>
      </c>
      <c r="I6" s="19" t="n">
        <f aca="false">H6/B6</f>
        <v>0.925</v>
      </c>
      <c r="J6" s="14" t="n">
        <v>300</v>
      </c>
      <c r="K6" s="18" t="n">
        <f aca="false">H6-J6</f>
        <v>625</v>
      </c>
      <c r="L6" s="19" t="n">
        <f aca="false">K6/B6</f>
        <v>0.625</v>
      </c>
    </row>
    <row r="7" customFormat="false" ht="15" hidden="false" customHeight="false" outlineLevel="0" collapsed="false">
      <c r="A7" s="13" t="s">
        <v>45</v>
      </c>
      <c r="B7" s="14" t="n">
        <v>1500</v>
      </c>
      <c r="C7" s="15" t="n">
        <v>8</v>
      </c>
      <c r="D7" s="15" t="n">
        <v>12</v>
      </c>
      <c r="E7" s="16" t="n">
        <f aca="false">AVERAGE(C7:D7)</f>
        <v>10</v>
      </c>
      <c r="F7" s="17" t="n">
        <f aca="false">B7/E7</f>
        <v>150</v>
      </c>
      <c r="G7" s="14" t="n">
        <v>150</v>
      </c>
      <c r="H7" s="18" t="n">
        <f aca="false">B7-G7</f>
        <v>1350</v>
      </c>
      <c r="I7" s="19" t="n">
        <f aca="false">H7/B7</f>
        <v>0.9</v>
      </c>
      <c r="J7" s="14" t="n">
        <v>500</v>
      </c>
      <c r="K7" s="18" t="n">
        <f aca="false">H7-J7</f>
        <v>850</v>
      </c>
      <c r="L7" s="19" t="n">
        <f aca="false">K7/B7</f>
        <v>0.566666666666667</v>
      </c>
    </row>
    <row r="9" customFormat="false" ht="15" hidden="false" customHeight="true" outlineLevel="0" collapsed="false">
      <c r="A9" s="20" t="s">
        <v>46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</row>
    <row r="10" customFormat="false" ht="15" hidden="false" customHeight="true" outlineLevel="0" collapsed="false">
      <c r="A10" s="20" t="s">
        <v>47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</row>
  </sheetData>
  <mergeCells count="4">
    <mergeCell ref="A1:L1"/>
    <mergeCell ref="A2:L2"/>
    <mergeCell ref="A9:L9"/>
    <mergeCell ref="A10:L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5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20"/>
  </cols>
  <sheetData>
    <row r="1" customFormat="false" ht="17.35" hidden="false" customHeight="false" outlineLevel="0" collapsed="false">
      <c r="A1" s="1" t="s">
        <v>48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49</v>
      </c>
      <c r="B2" s="2"/>
      <c r="C2" s="2"/>
      <c r="D2" s="2"/>
      <c r="E2" s="2"/>
      <c r="F2" s="2"/>
    </row>
    <row r="4" customFormat="false" ht="22.35" hidden="false" customHeight="true" outlineLevel="0" collapsed="false">
      <c r="A4" s="21" t="s">
        <v>50</v>
      </c>
      <c r="B4" s="21"/>
      <c r="C4" s="21"/>
      <c r="D4" s="22" t="n">
        <v>60</v>
      </c>
      <c r="E4" s="20" t="s">
        <v>51</v>
      </c>
      <c r="F4" s="20"/>
    </row>
    <row r="6" customFormat="false" ht="30" hidden="false" customHeight="true" outlineLevel="0" collapsed="false">
      <c r="A6" s="12" t="s">
        <v>31</v>
      </c>
      <c r="B6" s="12" t="s">
        <v>52</v>
      </c>
      <c r="C6" s="12" t="s">
        <v>53</v>
      </c>
      <c r="D6" s="12" t="s">
        <v>54</v>
      </c>
      <c r="E6" s="12" t="s">
        <v>55</v>
      </c>
      <c r="F6" s="12" t="s">
        <v>56</v>
      </c>
    </row>
    <row r="7" customFormat="false" ht="15" hidden="false" customHeight="false" outlineLevel="0" collapsed="false">
      <c r="A7" s="13" t="s">
        <v>43</v>
      </c>
      <c r="B7" s="15" t="n">
        <v>10</v>
      </c>
      <c r="C7" s="23" t="n">
        <f aca="false">Stage1_UnitEcon!B5</f>
        <v>500</v>
      </c>
      <c r="D7" s="24" t="n">
        <f aca="false">Stage1_UnitEcon!E5</f>
        <v>2.75</v>
      </c>
      <c r="E7" s="16" t="n">
        <f aca="false">B7*D7</f>
        <v>27.5</v>
      </c>
      <c r="F7" s="18" t="n">
        <f aca="false">B7*C7</f>
        <v>5000</v>
      </c>
    </row>
    <row r="8" customFormat="false" ht="15" hidden="false" customHeight="false" outlineLevel="0" collapsed="false">
      <c r="A8" s="13" t="s">
        <v>44</v>
      </c>
      <c r="B8" s="15" t="n">
        <v>5</v>
      </c>
      <c r="C8" s="23" t="n">
        <f aca="false">Stage1_UnitEcon!B6</f>
        <v>1000</v>
      </c>
      <c r="D8" s="24" t="n">
        <f aca="false">Stage1_UnitEcon!E6</f>
        <v>5</v>
      </c>
      <c r="E8" s="16" t="n">
        <f aca="false">B8*D8</f>
        <v>25</v>
      </c>
      <c r="F8" s="18" t="n">
        <f aca="false">B8*C8</f>
        <v>5000</v>
      </c>
    </row>
    <row r="9" customFormat="false" ht="15" hidden="false" customHeight="false" outlineLevel="0" collapsed="false">
      <c r="A9" s="13" t="s">
        <v>45</v>
      </c>
      <c r="B9" s="15" t="n">
        <v>1</v>
      </c>
      <c r="C9" s="23" t="n">
        <f aca="false">Stage1_UnitEcon!B7</f>
        <v>1500</v>
      </c>
      <c r="D9" s="24" t="n">
        <f aca="false">Stage1_UnitEcon!E7</f>
        <v>10</v>
      </c>
      <c r="E9" s="16" t="n">
        <f aca="false">B9*D9</f>
        <v>10</v>
      </c>
      <c r="F9" s="18" t="n">
        <f aca="false">B9*C9</f>
        <v>1500</v>
      </c>
    </row>
    <row r="10" customFormat="false" ht="15" hidden="false" customHeight="false" outlineLevel="0" collapsed="false">
      <c r="A10" s="3" t="s">
        <v>57</v>
      </c>
      <c r="E10" s="25" t="n">
        <f aca="false">SUM(E7:E9)</f>
        <v>62.5</v>
      </c>
      <c r="F10" s="26" t="n">
        <f aca="false">SUM(F7:F9)</f>
        <v>11500</v>
      </c>
    </row>
    <row r="11" customFormat="false" ht="15" hidden="false" customHeight="false" outlineLevel="0" collapsed="false">
      <c r="A11" s="3" t="s">
        <v>58</v>
      </c>
      <c r="E11" s="16" t="n">
        <f aca="false">D4-E10</f>
        <v>-2.5</v>
      </c>
    </row>
    <row r="12" customFormat="false" ht="15" hidden="false" customHeight="false" outlineLevel="0" collapsed="false">
      <c r="A12" s="3" t="s">
        <v>59</v>
      </c>
      <c r="E12" s="19" t="n">
        <f aca="false">E10/D4</f>
        <v>1.04166666666667</v>
      </c>
    </row>
    <row r="14" customFormat="false" ht="17.35" hidden="false" customHeight="false" outlineLevel="0" collapsed="false">
      <c r="A14" s="1" t="s">
        <v>60</v>
      </c>
      <c r="B14" s="1"/>
      <c r="C14" s="1"/>
      <c r="D14" s="1"/>
      <c r="E14" s="1"/>
      <c r="F14" s="1"/>
    </row>
    <row r="15" customFormat="false" ht="15" hidden="false" customHeight="false" outlineLevel="0" collapsed="false">
      <c r="A15" s="21" t="s">
        <v>61</v>
      </c>
      <c r="B15" s="21"/>
      <c r="C15" s="21"/>
      <c r="D15" s="21"/>
      <c r="E15" s="21"/>
      <c r="F15" s="27" t="n">
        <v>0.15</v>
      </c>
    </row>
    <row r="17" customFormat="false" ht="23.85" hidden="false" customHeight="false" outlineLevel="0" collapsed="false">
      <c r="A17" s="12" t="s">
        <v>62</v>
      </c>
      <c r="B17" s="12" t="s">
        <v>63</v>
      </c>
      <c r="C17" s="12" t="s">
        <v>64</v>
      </c>
      <c r="D17" s="12" t="s">
        <v>65</v>
      </c>
      <c r="E17" s="12" t="s">
        <v>66</v>
      </c>
      <c r="F17" s="12" t="s">
        <v>67</v>
      </c>
    </row>
    <row r="18" customFormat="false" ht="15" hidden="false" customHeight="false" outlineLevel="0" collapsed="false">
      <c r="A18" s="13" t="s">
        <v>68</v>
      </c>
      <c r="B18" s="15" t="n">
        <v>8</v>
      </c>
      <c r="C18" s="15" t="n">
        <v>0</v>
      </c>
      <c r="D18" s="15" t="n">
        <v>0</v>
      </c>
      <c r="E18" s="23" t="n">
        <f aca="false">B18*Stage1_UnitEcon!$B$5+C18*Stage1_UnitEcon!$B$6+D18*Stage1_UnitEcon!$B$7</f>
        <v>4000</v>
      </c>
      <c r="F18" s="18" t="n">
        <f aca="false">E18</f>
        <v>4000</v>
      </c>
    </row>
    <row r="19" customFormat="false" ht="15" hidden="false" customHeight="false" outlineLevel="0" collapsed="false">
      <c r="A19" s="13" t="s">
        <v>69</v>
      </c>
      <c r="B19" s="15" t="n">
        <v>6</v>
      </c>
      <c r="C19" s="15" t="n">
        <v>2</v>
      </c>
      <c r="D19" s="15" t="n">
        <v>0</v>
      </c>
      <c r="E19" s="23" t="n">
        <f aca="false">B19*Stage1_UnitEcon!$B$5+C19*Stage1_UnitEcon!$B$6+D19*Stage1_UnitEcon!$B$7</f>
        <v>5000</v>
      </c>
      <c r="F19" s="18" t="n">
        <f aca="false">F18+E19</f>
        <v>9000</v>
      </c>
    </row>
    <row r="20" customFormat="false" ht="15" hidden="false" customHeight="false" outlineLevel="0" collapsed="false">
      <c r="A20" s="13" t="s">
        <v>70</v>
      </c>
      <c r="B20" s="15" t="n">
        <v>6</v>
      </c>
      <c r="C20" s="15" t="n">
        <v>2</v>
      </c>
      <c r="D20" s="15" t="n">
        <v>1</v>
      </c>
      <c r="E20" s="23" t="n">
        <f aca="false">B20*Stage1_UnitEcon!$B$5+C20*Stage1_UnitEcon!$B$6+D20*Stage1_UnitEcon!$B$7</f>
        <v>6500</v>
      </c>
      <c r="F20" s="18" t="n">
        <f aca="false">F19+E20</f>
        <v>15500</v>
      </c>
    </row>
    <row r="21" customFormat="false" ht="15" hidden="false" customHeight="false" outlineLevel="0" collapsed="false">
      <c r="A21" s="13" t="s">
        <v>71</v>
      </c>
      <c r="B21" s="16" t="n">
        <f aca="false">MIN($B$7,B20*(1+$F$15))</f>
        <v>6.9</v>
      </c>
      <c r="C21" s="16" t="n">
        <f aca="false">MIN($B$8,C20*(1+$F$15))</f>
        <v>2.3</v>
      </c>
      <c r="D21" s="16" t="n">
        <f aca="false">MIN($B$9,D20*(1+$F$15))</f>
        <v>1</v>
      </c>
      <c r="E21" s="23" t="n">
        <f aca="false">B21*Stage1_UnitEcon!$B$5+C21*Stage1_UnitEcon!$B$6+D21*Stage1_UnitEcon!$B$7</f>
        <v>7250</v>
      </c>
      <c r="F21" s="18" t="n">
        <f aca="false">F20+E21</f>
        <v>22750</v>
      </c>
    </row>
    <row r="22" customFormat="false" ht="15" hidden="false" customHeight="false" outlineLevel="0" collapsed="false">
      <c r="A22" s="13" t="s">
        <v>72</v>
      </c>
      <c r="B22" s="16" t="n">
        <f aca="false">MIN($B$7,B21*(1+$F$15))</f>
        <v>7.935</v>
      </c>
      <c r="C22" s="16" t="n">
        <f aca="false">MIN($B$8,C21*(1+$F$15))</f>
        <v>2.645</v>
      </c>
      <c r="D22" s="16" t="n">
        <f aca="false">MIN($B$9,D21*(1+$F$15))</f>
        <v>1</v>
      </c>
      <c r="E22" s="23" t="n">
        <f aca="false">B22*Stage1_UnitEcon!$B$5+C22*Stage1_UnitEcon!$B$6+D22*Stage1_UnitEcon!$B$7</f>
        <v>8112.5</v>
      </c>
      <c r="F22" s="18" t="n">
        <f aca="false">F21+E22</f>
        <v>30862.5</v>
      </c>
    </row>
    <row r="23" customFormat="false" ht="15" hidden="false" customHeight="false" outlineLevel="0" collapsed="false">
      <c r="A23" s="13" t="s">
        <v>73</v>
      </c>
      <c r="B23" s="16" t="n">
        <f aca="false">MIN($B$7,B22*(1+$F$15))</f>
        <v>9.12525</v>
      </c>
      <c r="C23" s="16" t="n">
        <f aca="false">MIN($B$8,C22*(1+$F$15))</f>
        <v>3.04175</v>
      </c>
      <c r="D23" s="16" t="n">
        <f aca="false">MIN($B$9,D22*(1+$F$15))</f>
        <v>1</v>
      </c>
      <c r="E23" s="23" t="n">
        <f aca="false">B23*Stage1_UnitEcon!$B$5+C23*Stage1_UnitEcon!$B$6+D23*Stage1_UnitEcon!$B$7</f>
        <v>9104.375</v>
      </c>
      <c r="F23" s="18" t="n">
        <f aca="false">F22+E23</f>
        <v>39966.875</v>
      </c>
    </row>
    <row r="24" customFormat="false" ht="15" hidden="false" customHeight="false" outlineLevel="0" collapsed="false">
      <c r="A24" s="13" t="s">
        <v>74</v>
      </c>
      <c r="B24" s="16" t="n">
        <f aca="false">MIN($B$7,B23*(1+$F$15))</f>
        <v>10</v>
      </c>
      <c r="C24" s="16" t="n">
        <f aca="false">MIN($B$8,C23*(1+$F$15))</f>
        <v>3.4980125</v>
      </c>
      <c r="D24" s="16" t="n">
        <f aca="false">MIN($B$9,D23*(1+$F$15))</f>
        <v>1</v>
      </c>
      <c r="E24" s="23" t="n">
        <f aca="false">B24*Stage1_UnitEcon!$B$5+C24*Stage1_UnitEcon!$B$6+D24*Stage1_UnitEcon!$B$7</f>
        <v>9998.0125</v>
      </c>
      <c r="F24" s="18" t="n">
        <f aca="false">F23+E24</f>
        <v>49964.8875</v>
      </c>
    </row>
    <row r="25" customFormat="false" ht="15" hidden="false" customHeight="false" outlineLevel="0" collapsed="false">
      <c r="A25" s="13" t="s">
        <v>75</v>
      </c>
      <c r="B25" s="16" t="n">
        <f aca="false">MIN($B$7,B24*(1+$F$15))</f>
        <v>10</v>
      </c>
      <c r="C25" s="16" t="n">
        <f aca="false">MIN($B$8,C24*(1+$F$15))</f>
        <v>4.022714375</v>
      </c>
      <c r="D25" s="16" t="n">
        <f aca="false">MIN($B$9,D24*(1+$F$15))</f>
        <v>1</v>
      </c>
      <c r="E25" s="23" t="n">
        <f aca="false">B25*Stage1_UnitEcon!$B$5+C25*Stage1_UnitEcon!$B$6+D25*Stage1_UnitEcon!$B$7</f>
        <v>10522.714375</v>
      </c>
      <c r="F25" s="18" t="n">
        <f aca="false">F24+E25</f>
        <v>60487.601875</v>
      </c>
    </row>
    <row r="26" customFormat="false" ht="15" hidden="false" customHeight="false" outlineLevel="0" collapsed="false">
      <c r="A26" s="13" t="s">
        <v>76</v>
      </c>
      <c r="B26" s="16" t="n">
        <f aca="false">MIN($B$7,B25*(1+$F$15))</f>
        <v>10</v>
      </c>
      <c r="C26" s="16" t="n">
        <f aca="false">MIN($B$8,C25*(1+$F$15))</f>
        <v>4.62612153125</v>
      </c>
      <c r="D26" s="16" t="n">
        <f aca="false">MIN($B$9,D25*(1+$F$15))</f>
        <v>1</v>
      </c>
      <c r="E26" s="23" t="n">
        <f aca="false">B26*Stage1_UnitEcon!$B$5+C26*Stage1_UnitEcon!$B$6+D26*Stage1_UnitEcon!$B$7</f>
        <v>11126.12153125</v>
      </c>
      <c r="F26" s="18" t="n">
        <f aca="false">F25+E26</f>
        <v>71613.72340625</v>
      </c>
    </row>
    <row r="27" customFormat="false" ht="15" hidden="false" customHeight="false" outlineLevel="0" collapsed="false">
      <c r="A27" s="13" t="s">
        <v>77</v>
      </c>
      <c r="B27" s="16" t="n">
        <f aca="false">MIN($B$7,B26*(1+$F$15))</f>
        <v>10</v>
      </c>
      <c r="C27" s="16" t="n">
        <f aca="false">MIN($B$8,C26*(1+$F$15))</f>
        <v>5</v>
      </c>
      <c r="D27" s="16" t="n">
        <f aca="false">MIN($B$9,D26*(1+$F$15))</f>
        <v>1</v>
      </c>
      <c r="E27" s="23" t="n">
        <f aca="false">B27*Stage1_UnitEcon!$B$5+C27*Stage1_UnitEcon!$B$6+D27*Stage1_UnitEcon!$B$7</f>
        <v>11500</v>
      </c>
      <c r="F27" s="18" t="n">
        <f aca="false">F26+E27</f>
        <v>83113.72340625</v>
      </c>
    </row>
    <row r="28" customFormat="false" ht="15" hidden="false" customHeight="false" outlineLevel="0" collapsed="false">
      <c r="A28" s="13" t="s">
        <v>78</v>
      </c>
      <c r="B28" s="16" t="n">
        <f aca="false">MIN($B$7,B27*(1+$F$15))</f>
        <v>10</v>
      </c>
      <c r="C28" s="16" t="n">
        <f aca="false">MIN($B$8,C27*(1+$F$15))</f>
        <v>5</v>
      </c>
      <c r="D28" s="16" t="n">
        <f aca="false">MIN($B$9,D27*(1+$F$15))</f>
        <v>1</v>
      </c>
      <c r="E28" s="23" t="n">
        <f aca="false">B28*Stage1_UnitEcon!$B$5+C28*Stage1_UnitEcon!$B$6+D28*Stage1_UnitEcon!$B$7</f>
        <v>11500</v>
      </c>
      <c r="F28" s="18" t="n">
        <f aca="false">F27+E28</f>
        <v>94613.72340625</v>
      </c>
    </row>
    <row r="29" customFormat="false" ht="15" hidden="false" customHeight="false" outlineLevel="0" collapsed="false">
      <c r="A29" s="13" t="s">
        <v>79</v>
      </c>
      <c r="B29" s="16" t="n">
        <f aca="false">MIN($B$7,B28*(1+$F$15))</f>
        <v>10</v>
      </c>
      <c r="C29" s="16" t="n">
        <f aca="false">MIN($B$8,C28*(1+$F$15))</f>
        <v>5</v>
      </c>
      <c r="D29" s="16" t="n">
        <f aca="false">MIN($B$9,D28*(1+$F$15))</f>
        <v>1</v>
      </c>
      <c r="E29" s="23" t="n">
        <f aca="false">B29*Stage1_UnitEcon!$B$5+C29*Stage1_UnitEcon!$B$6+D29*Stage1_UnitEcon!$B$7</f>
        <v>11500</v>
      </c>
      <c r="F29" s="18" t="n">
        <f aca="false">F28+E29</f>
        <v>106113.72340625</v>
      </c>
    </row>
    <row r="31" customFormat="false" ht="15" hidden="false" customHeight="false" outlineLevel="0" collapsed="false">
      <c r="A31" s="3" t="s">
        <v>80</v>
      </c>
      <c r="F31" s="26" t="n">
        <f aca="false">F29</f>
        <v>106113.72340625</v>
      </c>
    </row>
    <row r="32" customFormat="false" ht="15" hidden="false" customHeight="false" outlineLevel="0" collapsed="false">
      <c r="A32" s="21" t="s">
        <v>81</v>
      </c>
      <c r="B32" s="21"/>
      <c r="C32" s="21"/>
      <c r="D32" s="28" t="str">
        <f aca="false">IF(F31&gt;=100000,"Meets aggressive SOM (&gt;$100k, source: web market research doc)",IF(F31&gt;=49300,"Within conservative-to-healthy SOM range ($49,300-$61,000+)","Below conservative SOM ($49,300) — raise growth rate or offer mix"))</f>
        <v>Meets aggressive SOM (&gt;$100k, source: web market research doc)</v>
      </c>
      <c r="E32" s="28"/>
      <c r="F32" s="28"/>
    </row>
    <row r="34" customFormat="false" ht="15" hidden="false" customHeight="true" outlineLevel="0" collapsed="false">
      <c r="A34" s="20" t="s">
        <v>82</v>
      </c>
      <c r="B34" s="20"/>
      <c r="C34" s="20"/>
      <c r="D34" s="20"/>
      <c r="E34" s="20"/>
      <c r="F34" s="20"/>
    </row>
  </sheetData>
  <mergeCells count="9">
    <mergeCell ref="A1:F1"/>
    <mergeCell ref="A2:F2"/>
    <mergeCell ref="A4:C4"/>
    <mergeCell ref="E4:F4"/>
    <mergeCell ref="A14:F14"/>
    <mergeCell ref="A15:E15"/>
    <mergeCell ref="A32:C32"/>
    <mergeCell ref="D32:F32"/>
    <mergeCell ref="A34:F34"/>
  </mergeCells>
  <conditionalFormatting sqref="E11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  <col collapsed="false" customWidth="true" hidden="false" outlineLevel="0" max="3" min="3" style="0" width="24"/>
  </cols>
  <sheetData>
    <row r="1" customFormat="false" ht="17.35" hidden="false" customHeight="false" outlineLevel="0" collapsed="false">
      <c r="A1" s="1" t="s">
        <v>83</v>
      </c>
      <c r="B1" s="1"/>
      <c r="C1" s="1"/>
    </row>
    <row r="2" customFormat="false" ht="15" hidden="false" customHeight="false" outlineLevel="0" collapsed="false">
      <c r="A2" s="2" t="s">
        <v>84</v>
      </c>
      <c r="B2" s="2"/>
      <c r="C2" s="2"/>
    </row>
    <row r="4" customFormat="false" ht="15" hidden="false" customHeight="false" outlineLevel="0" collapsed="false">
      <c r="A4" s="3" t="s">
        <v>85</v>
      </c>
    </row>
    <row r="5" customFormat="false" ht="27.75" hidden="false" customHeight="true" outlineLevel="0" collapsed="false">
      <c r="A5" s="29" t="s">
        <v>86</v>
      </c>
      <c r="B5" s="30" t="n">
        <v>99</v>
      </c>
      <c r="C5" s="31" t="s">
        <v>87</v>
      </c>
    </row>
    <row r="6" customFormat="false" ht="27.75" hidden="false" customHeight="true" outlineLevel="0" collapsed="false">
      <c r="A6" s="29" t="s">
        <v>88</v>
      </c>
      <c r="B6" s="30" t="n">
        <v>19.99</v>
      </c>
      <c r="C6" s="31" t="s">
        <v>89</v>
      </c>
    </row>
    <row r="7" customFormat="false" ht="27.75" hidden="false" customHeight="true" outlineLevel="0" collapsed="false">
      <c r="A7" s="29" t="s">
        <v>90</v>
      </c>
      <c r="B7" s="30" t="n">
        <v>5</v>
      </c>
      <c r="C7" s="31" t="s">
        <v>91</v>
      </c>
    </row>
    <row r="8" customFormat="false" ht="27.75" hidden="false" customHeight="true" outlineLevel="0" collapsed="false">
      <c r="A8" s="29" t="s">
        <v>92</v>
      </c>
      <c r="B8" s="27" t="n">
        <v>0.029</v>
      </c>
      <c r="C8" s="31" t="s">
        <v>93</v>
      </c>
    </row>
    <row r="9" customFormat="false" ht="27.75" hidden="false" customHeight="true" outlineLevel="0" collapsed="false">
      <c r="A9" s="29" t="s">
        <v>94</v>
      </c>
      <c r="B9" s="30" t="n">
        <v>0.3</v>
      </c>
      <c r="C9" s="31" t="s">
        <v>95</v>
      </c>
    </row>
    <row r="10" customFormat="false" ht="27.75" hidden="false" customHeight="true" outlineLevel="0" collapsed="false">
      <c r="A10" s="29" t="s">
        <v>96</v>
      </c>
      <c r="B10" s="27" t="n">
        <v>0.08</v>
      </c>
      <c r="C10" s="31" t="s">
        <v>97</v>
      </c>
    </row>
    <row r="11" customFormat="false" ht="27.75" hidden="false" customHeight="true" outlineLevel="0" collapsed="false">
      <c r="A11" s="29" t="s">
        <v>98</v>
      </c>
      <c r="B11" s="32" t="n">
        <v>30</v>
      </c>
      <c r="C11" s="31" t="s">
        <v>99</v>
      </c>
    </row>
    <row r="13" customFormat="false" ht="15" hidden="false" customHeight="false" outlineLevel="0" collapsed="false">
      <c r="A13" s="12" t="s">
        <v>100</v>
      </c>
      <c r="B13" s="12" t="s">
        <v>101</v>
      </c>
      <c r="C13" s="12" t="s">
        <v>102</v>
      </c>
    </row>
    <row r="14" customFormat="false" ht="15" hidden="false" customHeight="false" outlineLevel="0" collapsed="false">
      <c r="A14" s="13" t="s">
        <v>32</v>
      </c>
      <c r="B14" s="17" t="n">
        <f aca="false">B5</f>
        <v>99</v>
      </c>
      <c r="C14" s="17" t="n">
        <f aca="false">B6</f>
        <v>19.99</v>
      </c>
    </row>
    <row r="15" customFormat="false" ht="15" hidden="false" customHeight="false" outlineLevel="0" collapsed="false">
      <c r="A15" s="13" t="s">
        <v>103</v>
      </c>
      <c r="B15" s="17" t="n">
        <f aca="false">B14*$B$8+$B$9</f>
        <v>3.171</v>
      </c>
      <c r="C15" s="17" t="n">
        <f aca="false">C14*$B$8+$B$9</f>
        <v>0.87971</v>
      </c>
    </row>
    <row r="16" customFormat="false" ht="15" hidden="false" customHeight="false" outlineLevel="0" collapsed="false">
      <c r="A16" s="13" t="s">
        <v>104</v>
      </c>
      <c r="B16" s="17" t="n">
        <f aca="false">$B$7</f>
        <v>5</v>
      </c>
      <c r="C16" s="17" t="n">
        <f aca="false">$B$7</f>
        <v>5</v>
      </c>
    </row>
    <row r="17" customFormat="false" ht="15" hidden="false" customHeight="false" outlineLevel="0" collapsed="false">
      <c r="A17" s="13" t="s">
        <v>105</v>
      </c>
      <c r="B17" s="17" t="n">
        <f aca="false">B14-B15-B16</f>
        <v>90.829</v>
      </c>
      <c r="C17" s="17" t="n">
        <f aca="false">C14-C15-C16</f>
        <v>14.11029</v>
      </c>
    </row>
    <row r="18" customFormat="false" ht="15" hidden="false" customHeight="false" outlineLevel="0" collapsed="false">
      <c r="A18" s="13" t="s">
        <v>106</v>
      </c>
      <c r="B18" s="19" t="n">
        <f aca="false">B17/B14</f>
        <v>0.917464646464646</v>
      </c>
      <c r="C18" s="19" t="n">
        <f aca="false">C17/C14</f>
        <v>0.705867433716859</v>
      </c>
    </row>
    <row r="19" customFormat="false" ht="15" hidden="false" customHeight="false" outlineLevel="0" collapsed="false">
      <c r="A19" s="13" t="s">
        <v>107</v>
      </c>
      <c r="B19" s="18" t="n">
        <f aca="false">$B$11</f>
        <v>30</v>
      </c>
      <c r="C19" s="18" t="n">
        <f aca="false">$B$11</f>
        <v>30</v>
      </c>
    </row>
    <row r="20" customFormat="false" ht="15" hidden="false" customHeight="false" outlineLevel="0" collapsed="false">
      <c r="A20" s="13" t="s">
        <v>108</v>
      </c>
      <c r="B20" s="33"/>
      <c r="C20" s="17" t="n">
        <f aca="false">C17/$B$10</f>
        <v>176.378625</v>
      </c>
    </row>
    <row r="21" customFormat="false" ht="15" hidden="false" customHeight="false" outlineLevel="0" collapsed="false">
      <c r="A21" s="13" t="s">
        <v>109</v>
      </c>
      <c r="B21" s="33"/>
      <c r="C21" s="34" t="n">
        <f aca="false">C20/C19</f>
        <v>5.8792875</v>
      </c>
    </row>
    <row r="22" customFormat="false" ht="15" hidden="false" customHeight="false" outlineLevel="0" collapsed="false">
      <c r="A22" s="13" t="s">
        <v>110</v>
      </c>
      <c r="B22" s="17" t="n">
        <f aca="false">B17-B19</f>
        <v>60.829</v>
      </c>
      <c r="C22" s="33"/>
    </row>
    <row r="23" customFormat="false" ht="15" hidden="false" customHeight="false" outlineLevel="0" collapsed="false">
      <c r="A23" s="13" t="s">
        <v>111</v>
      </c>
      <c r="B23" s="33"/>
      <c r="C23" s="16" t="n">
        <f aca="false">IFERROR($B$11/C17,"n/a")</f>
        <v>2.12610796801483</v>
      </c>
    </row>
    <row r="25" customFormat="false" ht="15" hidden="false" customHeight="false" outlineLevel="0" collapsed="false">
      <c r="A25" s="3" t="s">
        <v>112</v>
      </c>
    </row>
    <row r="26" customFormat="false" ht="27.75" hidden="false" customHeight="true" outlineLevel="0" collapsed="false">
      <c r="A26" s="35" t="s">
        <v>113</v>
      </c>
      <c r="B26" s="35"/>
      <c r="C26" s="35"/>
    </row>
    <row r="27" customFormat="false" ht="27.75" hidden="false" customHeight="true" outlineLevel="0" collapsed="false">
      <c r="A27" s="35" t="s">
        <v>114</v>
      </c>
      <c r="B27" s="35"/>
      <c r="C27" s="35"/>
    </row>
    <row r="28" customFormat="false" ht="27.75" hidden="false" customHeight="true" outlineLevel="0" collapsed="false">
      <c r="A28" s="35" t="s">
        <v>115</v>
      </c>
      <c r="B28" s="35"/>
      <c r="C28" s="35"/>
    </row>
  </sheetData>
  <mergeCells count="5">
    <mergeCell ref="A1:C1"/>
    <mergeCell ref="A2:C2"/>
    <mergeCell ref="A26:C26"/>
    <mergeCell ref="A27:C27"/>
    <mergeCell ref="A28:C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5" min="2" style="0" width="14"/>
  </cols>
  <sheetData>
    <row r="1" customFormat="false" ht="17.35" hidden="false" customHeight="false" outlineLevel="0" collapsed="false">
      <c r="A1" s="1" t="s">
        <v>116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117</v>
      </c>
      <c r="B2" s="2"/>
      <c r="C2" s="2"/>
      <c r="D2" s="2"/>
      <c r="E2" s="2"/>
    </row>
    <row r="4" customFormat="false" ht="15" hidden="false" customHeight="false" outlineLevel="0" collapsed="false">
      <c r="A4" s="21" t="s">
        <v>118</v>
      </c>
      <c r="B4" s="21"/>
      <c r="C4" s="21"/>
      <c r="D4" s="32" t="n">
        <v>50000</v>
      </c>
    </row>
    <row r="5" customFormat="false" ht="27.75" hidden="false" customHeight="true" outlineLevel="0" collapsed="false">
      <c r="A5" s="20" t="s">
        <v>119</v>
      </c>
      <c r="B5" s="20"/>
      <c r="C5" s="20"/>
      <c r="D5" s="20"/>
      <c r="E5" s="20"/>
    </row>
    <row r="6" customFormat="false" ht="15" hidden="false" customHeight="false" outlineLevel="0" collapsed="false">
      <c r="A6" s="21" t="s">
        <v>120</v>
      </c>
      <c r="B6" s="21"/>
      <c r="C6" s="21"/>
      <c r="D6" s="27" t="n">
        <v>0.4</v>
      </c>
    </row>
    <row r="8" customFormat="false" ht="15" hidden="false" customHeight="false" outlineLevel="0" collapsed="false">
      <c r="A8" s="12" t="s">
        <v>100</v>
      </c>
      <c r="B8" s="12" t="s">
        <v>121</v>
      </c>
      <c r="C8" s="12" t="s">
        <v>122</v>
      </c>
      <c r="D8" s="12" t="s">
        <v>123</v>
      </c>
      <c r="E8" s="12" t="s">
        <v>124</v>
      </c>
    </row>
    <row r="9" customFormat="false" ht="15" hidden="false" customHeight="false" outlineLevel="0" collapsed="false">
      <c r="A9" s="13" t="s">
        <v>125</v>
      </c>
      <c r="B9" s="36" t="n">
        <v>100</v>
      </c>
      <c r="C9" s="36" t="n">
        <v>500</v>
      </c>
      <c r="D9" s="36" t="n">
        <v>2000</v>
      </c>
      <c r="E9" s="36" t="n">
        <v>10000</v>
      </c>
    </row>
    <row r="10" customFormat="false" ht="15" hidden="false" customHeight="false" outlineLevel="0" collapsed="false">
      <c r="A10" s="13" t="s">
        <v>126</v>
      </c>
      <c r="B10" s="37" t="n">
        <f aca="false">B9*(1-$D$6)</f>
        <v>60</v>
      </c>
      <c r="C10" s="37" t="n">
        <f aca="false">C9*(1-$D$6)</f>
        <v>300</v>
      </c>
      <c r="D10" s="37" t="n">
        <f aca="false">D9*(1-$D$6)</f>
        <v>1200</v>
      </c>
      <c r="E10" s="37" t="n">
        <f aca="false">E9*(1-$D$6)</f>
        <v>6000</v>
      </c>
    </row>
    <row r="11" customFormat="false" ht="15" hidden="false" customHeight="false" outlineLevel="0" collapsed="false">
      <c r="A11" s="13" t="s">
        <v>127</v>
      </c>
      <c r="B11" s="37" t="n">
        <f aca="false">B9*$D$6</f>
        <v>40</v>
      </c>
      <c r="C11" s="37" t="n">
        <f aca="false">C9*$D$6</f>
        <v>200</v>
      </c>
      <c r="D11" s="37" t="n">
        <f aca="false">D9*$D$6</f>
        <v>800</v>
      </c>
      <c r="E11" s="37" t="n">
        <f aca="false">E9*$D$6</f>
        <v>4000</v>
      </c>
    </row>
    <row r="12" customFormat="false" ht="15" hidden="false" customHeight="false" outlineLevel="0" collapsed="false">
      <c r="A12" s="13" t="s">
        <v>128</v>
      </c>
      <c r="B12" s="38" t="n">
        <f aca="false">B11/Stage2_UnitEcon!$B$10</f>
        <v>500</v>
      </c>
      <c r="C12" s="38" t="n">
        <f aca="false">C11/Stage2_UnitEcon!$B$10</f>
        <v>2500</v>
      </c>
      <c r="D12" s="38" t="n">
        <f aca="false">D11/Stage2_UnitEcon!$B$10</f>
        <v>10000</v>
      </c>
      <c r="E12" s="38" t="n">
        <f aca="false">E11/Stage2_UnitEcon!$B$10</f>
        <v>50000</v>
      </c>
    </row>
    <row r="13" customFormat="false" ht="15" hidden="false" customHeight="false" outlineLevel="0" collapsed="false">
      <c r="A13" s="13" t="s">
        <v>129</v>
      </c>
      <c r="B13" s="23" t="n">
        <f aca="false">B10*Stage2_UnitEcon!$B$5</f>
        <v>5940</v>
      </c>
      <c r="C13" s="23" t="n">
        <f aca="false">C10*Stage2_UnitEcon!$B$5</f>
        <v>29700</v>
      </c>
      <c r="D13" s="23" t="n">
        <f aca="false">D10*Stage2_UnitEcon!$B$5</f>
        <v>118800</v>
      </c>
      <c r="E13" s="23" t="n">
        <f aca="false">E10*Stage2_UnitEcon!$B$5</f>
        <v>594000</v>
      </c>
    </row>
    <row r="14" customFormat="false" ht="15" hidden="false" customHeight="false" outlineLevel="0" collapsed="false">
      <c r="A14" s="13" t="s">
        <v>130</v>
      </c>
      <c r="B14" s="23" t="n">
        <f aca="false">B12*Stage2_UnitEcon!$B$6</f>
        <v>9995</v>
      </c>
      <c r="C14" s="23" t="n">
        <f aca="false">C12*Stage2_UnitEcon!$B$6</f>
        <v>49975</v>
      </c>
      <c r="D14" s="23" t="n">
        <f aca="false">D12*Stage2_UnitEcon!$B$6</f>
        <v>199900</v>
      </c>
      <c r="E14" s="23" t="n">
        <f aca="false">E12*Stage2_UnitEcon!$B$6</f>
        <v>999500</v>
      </c>
    </row>
    <row r="15" customFormat="false" ht="15" hidden="false" customHeight="false" outlineLevel="0" collapsed="false">
      <c r="A15" s="13" t="s">
        <v>131</v>
      </c>
      <c r="B15" s="18" t="n">
        <f aca="false">B13+B14</f>
        <v>15935</v>
      </c>
      <c r="C15" s="18" t="n">
        <f aca="false">C13+C14</f>
        <v>79675</v>
      </c>
      <c r="D15" s="18" t="n">
        <f aca="false">D13+D14</f>
        <v>318700</v>
      </c>
      <c r="E15" s="18" t="n">
        <f aca="false">E13+E14</f>
        <v>1593500</v>
      </c>
    </row>
    <row r="16" customFormat="false" ht="15" hidden="false" customHeight="false" outlineLevel="0" collapsed="false">
      <c r="A16" s="13" t="s">
        <v>132</v>
      </c>
      <c r="B16" s="23" t="n">
        <f aca="false">(B10+B12)*Stage2_UnitEcon!$B$7+B10*(Stage2_UnitEcon!$B$5*Stage2_UnitEcon!$B$8+Stage2_UnitEcon!$B$9)+B11*(Stage2_UnitEcon!$B$6*Stage2_UnitEcon!$B$8+Stage2_UnitEcon!$B$9)</f>
        <v>3025.4484</v>
      </c>
      <c r="C16" s="23" t="n">
        <f aca="false">(C10+C12)*Stage2_UnitEcon!$B$7+C10*(Stage2_UnitEcon!$B$5*Stage2_UnitEcon!$B$8+Stage2_UnitEcon!$B$9)+C11*(Stage2_UnitEcon!$B$6*Stage2_UnitEcon!$B$8+Stage2_UnitEcon!$B$9)</f>
        <v>15127.242</v>
      </c>
      <c r="D16" s="23" t="n">
        <f aca="false">(D10+D12)*Stage2_UnitEcon!$B$7+D10*(Stage2_UnitEcon!$B$5*Stage2_UnitEcon!$B$8+Stage2_UnitEcon!$B$9)+D11*(Stage2_UnitEcon!$B$6*Stage2_UnitEcon!$B$8+Stage2_UnitEcon!$B$9)</f>
        <v>60508.968</v>
      </c>
      <c r="E16" s="23" t="n">
        <f aca="false">(E10+E12)*Stage2_UnitEcon!$B$7+E10*(Stage2_UnitEcon!$B$5*Stage2_UnitEcon!$B$8+Stage2_UnitEcon!$B$9)+E11*(Stage2_UnitEcon!$B$6*Stage2_UnitEcon!$B$8+Stage2_UnitEcon!$B$9)</f>
        <v>302544.84</v>
      </c>
    </row>
    <row r="17" customFormat="false" ht="15" hidden="false" customHeight="false" outlineLevel="0" collapsed="false">
      <c r="A17" s="13" t="s">
        <v>133</v>
      </c>
      <c r="B17" s="18" t="n">
        <f aca="false">B15-B16</f>
        <v>12909.5516</v>
      </c>
      <c r="C17" s="18" t="n">
        <f aca="false">C15-C16</f>
        <v>64547.758</v>
      </c>
      <c r="D17" s="18" t="n">
        <f aca="false">D15-D16</f>
        <v>258191.032</v>
      </c>
      <c r="E17" s="18" t="n">
        <f aca="false">E15-E16</f>
        <v>1290955.16</v>
      </c>
    </row>
    <row r="18" customFormat="false" ht="15" hidden="false" customHeight="false" outlineLevel="0" collapsed="false">
      <c r="A18" s="13" t="s">
        <v>106</v>
      </c>
      <c r="B18" s="19" t="n">
        <f aca="false">B17/B15</f>
        <v>0.810138161280201</v>
      </c>
      <c r="C18" s="19" t="n">
        <f aca="false">C17/C15</f>
        <v>0.810138161280201</v>
      </c>
      <c r="D18" s="19" t="n">
        <f aca="false">D17/D15</f>
        <v>0.810138161280201</v>
      </c>
      <c r="E18" s="19" t="n">
        <f aca="false">E17/E15</f>
        <v>0.810138161280201</v>
      </c>
    </row>
    <row r="19" customFormat="false" ht="15" hidden="false" customHeight="false" outlineLevel="0" collapsed="false">
      <c r="A19" s="13" t="s">
        <v>134</v>
      </c>
      <c r="B19" s="23" t="n">
        <f aca="false">B9*Stage2_UnitEcon!$B$11</f>
        <v>3000</v>
      </c>
      <c r="C19" s="23" t="n">
        <f aca="false">C9*Stage2_UnitEcon!$B$11</f>
        <v>15000</v>
      </c>
      <c r="D19" s="23" t="n">
        <f aca="false">D9*Stage2_UnitEcon!$B$11</f>
        <v>60000</v>
      </c>
      <c r="E19" s="23" t="n">
        <f aca="false">E9*Stage2_UnitEcon!$B$11</f>
        <v>300000</v>
      </c>
    </row>
    <row r="20" customFormat="false" ht="15" hidden="false" customHeight="false" outlineLevel="0" collapsed="false">
      <c r="A20" s="13" t="s">
        <v>135</v>
      </c>
      <c r="B20" s="18" t="n">
        <f aca="false">B17-B19</f>
        <v>9909.5516</v>
      </c>
      <c r="C20" s="18" t="n">
        <f aca="false">C17-C19</f>
        <v>49547.758</v>
      </c>
      <c r="D20" s="18" t="n">
        <f aca="false">D17-D19</f>
        <v>198191.032</v>
      </c>
      <c r="E20" s="18" t="n">
        <f aca="false">E17-E19</f>
        <v>990955.16</v>
      </c>
    </row>
    <row r="21" customFormat="false" ht="15" hidden="false" customHeight="false" outlineLevel="0" collapsed="false">
      <c r="A21" s="13" t="s">
        <v>136</v>
      </c>
      <c r="B21" s="16" t="n">
        <f aca="false">IFERROR($D$4/B20,"n/a")</f>
        <v>5.04563697917472</v>
      </c>
      <c r="C21" s="16" t="n">
        <f aca="false">IFERROR($D$4/C20,"n/a")</f>
        <v>1.00912739583494</v>
      </c>
      <c r="D21" s="16" t="n">
        <f aca="false">IFERROR($D$4/D20,"n/a")</f>
        <v>0.252281848958736</v>
      </c>
      <c r="E21" s="16" t="n">
        <f aca="false">IFERROR($D$4/E20,"n/a")</f>
        <v>0.0504563697917472</v>
      </c>
    </row>
    <row r="23" customFormat="false" ht="22.35" hidden="false" customHeight="true" outlineLevel="0" collapsed="false">
      <c r="A23" s="20" t="s">
        <v>137</v>
      </c>
      <c r="B23" s="20"/>
      <c r="C23" s="20"/>
      <c r="D23" s="20"/>
      <c r="E23" s="20"/>
    </row>
  </sheetData>
  <mergeCells count="6">
    <mergeCell ref="A1:E1"/>
    <mergeCell ref="A2:E2"/>
    <mergeCell ref="A4:C4"/>
    <mergeCell ref="A5:E5"/>
    <mergeCell ref="A6:C6"/>
    <mergeCell ref="A23:E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4" min="3" style="0" width="10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" t="s">
        <v>138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139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12" t="s">
        <v>140</v>
      </c>
      <c r="B4" s="12" t="s">
        <v>100</v>
      </c>
      <c r="C4" s="12" t="s">
        <v>141</v>
      </c>
      <c r="D4" s="12" t="s">
        <v>142</v>
      </c>
      <c r="E4" s="12" t="s">
        <v>143</v>
      </c>
      <c r="F4" s="12" t="s">
        <v>144</v>
      </c>
    </row>
    <row r="5" customFormat="false" ht="33.75" hidden="false" customHeight="true" outlineLevel="0" collapsed="false">
      <c r="A5" s="39" t="s">
        <v>145</v>
      </c>
      <c r="B5" s="39" t="s">
        <v>146</v>
      </c>
      <c r="C5" s="15" t="n">
        <v>20</v>
      </c>
      <c r="D5" s="40" t="s">
        <v>147</v>
      </c>
      <c r="E5" s="41"/>
      <c r="F5" s="42" t="str">
        <f aca="false">IF(E5="","",IF(D5="&gt;=",IF(E5&gt;=C5,"Yes","Not yet"),IF(E5&lt;=C5,"Yes","Not yet")))</f>
        <v/>
      </c>
    </row>
    <row r="6" customFormat="false" ht="33.75" hidden="false" customHeight="true" outlineLevel="0" collapsed="false">
      <c r="A6" s="39" t="s">
        <v>148</v>
      </c>
      <c r="B6" s="39" t="s">
        <v>149</v>
      </c>
      <c r="C6" s="15" t="n">
        <v>8</v>
      </c>
      <c r="D6" s="40" t="s">
        <v>147</v>
      </c>
      <c r="E6" s="41"/>
      <c r="F6" s="42" t="str">
        <f aca="false">IF(E6="","",IF(D6="&gt;=",IF(E6&gt;=C6,"Yes","Not yet"),IF(E6&lt;=C6,"Yes","Not yet")))</f>
        <v/>
      </c>
    </row>
    <row r="7" customFormat="false" ht="33.75" hidden="false" customHeight="true" outlineLevel="0" collapsed="false">
      <c r="A7" s="39" t="s">
        <v>148</v>
      </c>
      <c r="B7" s="39" t="s">
        <v>150</v>
      </c>
      <c r="C7" s="43" t="n">
        <v>0.05</v>
      </c>
      <c r="D7" s="40" t="s">
        <v>151</v>
      </c>
      <c r="E7" s="44"/>
      <c r="F7" s="42" t="str">
        <f aca="false">IF(E7="","",IF(D7="&gt;=",IF(E7&gt;=C7,"Yes","Not yet"),IF(E7&lt;=C7,"Yes","Not yet")))</f>
        <v/>
      </c>
    </row>
    <row r="8" customFormat="false" ht="33.75" hidden="false" customHeight="true" outlineLevel="0" collapsed="false">
      <c r="A8" s="39" t="s">
        <v>152</v>
      </c>
      <c r="B8" s="39" t="s">
        <v>153</v>
      </c>
      <c r="C8" s="15" t="n">
        <v>2</v>
      </c>
      <c r="D8" s="40" t="s">
        <v>147</v>
      </c>
      <c r="E8" s="41"/>
      <c r="F8" s="42" t="str">
        <f aca="false">IF(E8="","",IF(D8="&gt;=",IF(E8&gt;=C8,"Yes","Not yet"),IF(E8&lt;=C8,"Yes","Not yet")))</f>
        <v/>
      </c>
    </row>
    <row r="9" customFormat="false" ht="33.75" hidden="false" customHeight="true" outlineLevel="0" collapsed="false">
      <c r="A9" s="39" t="s">
        <v>154</v>
      </c>
      <c r="B9" s="39" t="s">
        <v>155</v>
      </c>
      <c r="C9" s="43" t="n">
        <v>0.25</v>
      </c>
      <c r="D9" s="40" t="s">
        <v>147</v>
      </c>
      <c r="E9" s="44"/>
      <c r="F9" s="42" t="str">
        <f aca="false">IF(E9="","",IF(D9="&gt;=",IF(E9&gt;=C9,"Yes","Not yet"),IF(E9&lt;=C9,"Yes","Not yet")))</f>
        <v/>
      </c>
    </row>
    <row r="10" customFormat="false" ht="33.75" hidden="false" customHeight="true" outlineLevel="0" collapsed="false">
      <c r="A10" s="39" t="s">
        <v>156</v>
      </c>
      <c r="B10" s="39" t="s">
        <v>157</v>
      </c>
      <c r="C10" s="43" t="n">
        <v>0.15</v>
      </c>
      <c r="D10" s="40" t="s">
        <v>147</v>
      </c>
      <c r="E10" s="44"/>
      <c r="F10" s="42" t="str">
        <f aca="false">IF(E10="","",IF(D10="&gt;=",IF(E10&gt;=C10,"Yes","Not yet"),IF(E10&lt;=C10,"Yes","Not yet")))</f>
        <v/>
      </c>
    </row>
    <row r="11" customFormat="false" ht="33.75" hidden="false" customHeight="true" outlineLevel="0" collapsed="false">
      <c r="A11" s="39" t="s">
        <v>158</v>
      </c>
      <c r="B11" s="39" t="s">
        <v>159</v>
      </c>
      <c r="C11" s="15" t="n">
        <v>1</v>
      </c>
      <c r="D11" s="40" t="s">
        <v>147</v>
      </c>
      <c r="E11" s="41"/>
      <c r="F11" s="42" t="str">
        <f aca="false">IF(E11="","",IF(D11="&gt;=",IF(E11&gt;=C11,"Yes","Not yet"),IF(E11&lt;=C11,"Yes","Not yet")))</f>
        <v/>
      </c>
    </row>
    <row r="12" customFormat="false" ht="33.75" hidden="false" customHeight="true" outlineLevel="0" collapsed="false">
      <c r="A12" s="39" t="s">
        <v>160</v>
      </c>
      <c r="B12" s="39" t="s">
        <v>161</v>
      </c>
      <c r="C12" s="15" t="n">
        <v>1</v>
      </c>
      <c r="D12" s="40" t="s">
        <v>147</v>
      </c>
      <c r="E12" s="41"/>
      <c r="F12" s="42" t="str">
        <f aca="false">IF(E12="","",IF(D12="&gt;=",IF(E12&gt;=C12,"Yes","Not yet"),IF(E12&lt;=C12,"Yes","Not yet")))</f>
        <v/>
      </c>
    </row>
    <row r="14" customFormat="false" ht="15" hidden="false" customHeight="false" outlineLevel="0" collapsed="false">
      <c r="A14" s="3" t="s">
        <v>162</v>
      </c>
      <c r="F14" s="3" t="n">
        <f aca="false">COUNTIF(F5:F12,"Yes")</f>
        <v>0</v>
      </c>
    </row>
    <row r="15" customFormat="false" ht="15" hidden="false" customHeight="false" outlineLevel="0" collapsed="false">
      <c r="A15" s="3" t="s">
        <v>163</v>
      </c>
      <c r="B15" s="45" t="str">
        <f aca="false">IF(F14&gt;=6,"Green light — begin Stage 2 scoping",IF(F14&gt;=4,"Directionally ready — close remaining gaps first","Not yet — stay focused on Stage 1 proof"))</f>
        <v>Not yet — stay focused on Stage 1 proof</v>
      </c>
      <c r="C15" s="45"/>
      <c r="D15" s="45"/>
      <c r="E15" s="45"/>
      <c r="F15" s="45"/>
    </row>
  </sheetData>
  <mergeCells count="3">
    <mergeCell ref="A1:F1"/>
    <mergeCell ref="A2:F2"/>
    <mergeCell ref="B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38"/>
  </cols>
  <sheetData>
    <row r="1" customFormat="false" ht="17.35" hidden="false" customHeight="false" outlineLevel="0" collapsed="false">
      <c r="A1" s="1" t="s">
        <v>164</v>
      </c>
      <c r="B1" s="1"/>
      <c r="C1" s="1"/>
    </row>
    <row r="2" customFormat="false" ht="15" hidden="false" customHeight="false" outlineLevel="0" collapsed="false">
      <c r="A2" s="2" t="s">
        <v>165</v>
      </c>
      <c r="B2" s="2"/>
      <c r="C2" s="2"/>
    </row>
    <row r="4" customFormat="false" ht="30" hidden="false" customHeight="true" outlineLevel="0" collapsed="false">
      <c r="A4" s="12" t="s">
        <v>100</v>
      </c>
      <c r="B4" s="12" t="s">
        <v>166</v>
      </c>
      <c r="C4" s="12" t="s">
        <v>167</v>
      </c>
    </row>
    <row r="5" customFormat="false" ht="15" hidden="false" customHeight="false" outlineLevel="0" collapsed="false">
      <c r="A5" s="13" t="s">
        <v>168</v>
      </c>
      <c r="B5" s="23" t="n">
        <f aca="false">Stage1_Capacity!F10</f>
        <v>11500</v>
      </c>
      <c r="C5" s="23" t="n">
        <f aca="false">Stage2_Scale!D14</f>
        <v>199900</v>
      </c>
    </row>
    <row r="6" customFormat="false" ht="15" hidden="false" customHeight="false" outlineLevel="0" collapsed="false">
      <c r="A6" s="13" t="s">
        <v>106</v>
      </c>
      <c r="B6" s="46" t="n">
        <f aca="false">SUMPRODUCT(Stage1_Capacity!B7:B9,Stage1_UnitEcon!H5:H7)/Stage1_Capacity!F10</f>
        <v>0.915217391304348</v>
      </c>
      <c r="C6" s="46" t="n">
        <f aca="false">Stage2_Scale!D18</f>
        <v>0.810138161280201</v>
      </c>
    </row>
    <row r="7" customFormat="false" ht="15" hidden="false" customHeight="false" outlineLevel="0" collapsed="false">
      <c r="A7" s="13" t="s">
        <v>169</v>
      </c>
      <c r="B7" s="47" t="s">
        <v>170</v>
      </c>
      <c r="C7" s="23" t="n">
        <f aca="false">Stage2_UnitEcon!B11</f>
        <v>30</v>
      </c>
    </row>
    <row r="8" customFormat="false" ht="15" hidden="false" customHeight="false" outlineLevel="0" collapsed="false">
      <c r="A8" s="13" t="s">
        <v>171</v>
      </c>
      <c r="B8" s="24" t="n">
        <f aca="false">Stage1_Capacity!E10/Stage1_Capacity!F10*1000</f>
        <v>5.43478260869565</v>
      </c>
      <c r="C8" s="47" t="s">
        <v>172</v>
      </c>
    </row>
    <row r="9" customFormat="false" ht="42" hidden="false" customHeight="true" outlineLevel="0" collapsed="false">
      <c r="A9" s="48" t="s">
        <v>173</v>
      </c>
      <c r="B9" s="39" t="s">
        <v>174</v>
      </c>
      <c r="C9" s="39" t="s">
        <v>175</v>
      </c>
    </row>
    <row r="10" customFormat="false" ht="42" hidden="false" customHeight="true" outlineLevel="0" collapsed="false">
      <c r="A10" s="48" t="s">
        <v>176</v>
      </c>
      <c r="B10" s="39" t="s">
        <v>177</v>
      </c>
      <c r="C10" s="39" t="s">
        <v>178</v>
      </c>
    </row>
    <row r="12" customFormat="false" ht="60" hidden="false" customHeight="true" outlineLevel="0" collapsed="false">
      <c r="A12" s="49" t="s">
        <v>179</v>
      </c>
      <c r="B12" s="49"/>
      <c r="C12" s="49"/>
    </row>
    <row r="13" customFormat="false" ht="15" hidden="false" customHeight="false" outlineLevel="0" collapsed="false">
      <c r="A13" s="49"/>
      <c r="B13" s="49"/>
      <c r="C13" s="49"/>
    </row>
    <row r="14" customFormat="false" ht="15" hidden="false" customHeight="false" outlineLevel="0" collapsed="false">
      <c r="A14" s="49"/>
      <c r="B14" s="49"/>
      <c r="C14" s="49"/>
    </row>
  </sheetData>
  <mergeCells count="3">
    <mergeCell ref="A1:C1"/>
    <mergeCell ref="A2:C2"/>
    <mergeCell ref="A12:C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2026-07-25T06:36:29Z</dcterms:created>
  <dc:creator>openpyxl</dc:creator>
  <dc:description/>
  <dc:language>en-US</dc:language>
  <cp:lastModifiedBy/>
  <dcterms:modified xsi:type="dcterms:W3CDTF">2026-07-25T06:36:29Z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